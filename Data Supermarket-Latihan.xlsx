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ED201137-C784-4725-9C72-7599F7198981}" xr6:coauthVersionLast="47" xr6:coauthVersionMax="47" xr10:uidLastSave="{00000000-0000-0000-0000-000000000000}"/>
  <bookViews>
    <workbookView xWindow="-108" yWindow="-108" windowWidth="23256" windowHeight="12456" activeTab="2" xr2:uid="{00000000-000D-0000-FFFF-FFFF00000000}"/>
  </bookViews>
  <sheets>
    <sheet name="Analisis Pivot" sheetId="3" r:id="rId1"/>
    <sheet name="Data" sheetId="1" r:id="rId2"/>
    <sheet name="Dashboard" sheetId="2" r:id="rId3"/>
  </sheets>
  <definedNames>
    <definedName name="_xlnm._FilterDatabase" localSheetId="1" hidden="1">Data!$A$1:$Q$1001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L6" i="2" l="1"/>
  <c r="S6" i="2"/>
  <c r="Q6" i="2"/>
  <c r="N6" i="2"/>
</calcChain>
</file>

<file path=xl/sharedStrings.xml><?xml version="1.0" encoding="utf-8"?>
<sst xmlns="http://schemas.openxmlformats.org/spreadsheetml/2006/main" count="7063" uniqueCount="1061">
  <si>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</si>
  <si>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</si>
  <si>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</si>
  <si>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</si>
  <si>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</si>
  <si>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</si>
  <si>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</si>
  <si>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</si>
  <si>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</si>
  <si>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</si>
  <si>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</si>
  <si>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</si>
  <si>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</si>
  <si>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</si>
  <si>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</si>
  <si>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</si>
  <si>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</si>
  <si>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</si>
  <si>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</si>
  <si>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</si>
  <si>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</si>
  <si>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</si>
  <si>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</si>
  <si>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</si>
  <si>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</si>
  <si>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</si>
  <si>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</si>
  <si>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</si>
  <si>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</si>
  <si>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</si>
  <si>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</si>
  <si>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</si>
  <si>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</si>
  <si>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</si>
  <si>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</si>
  <si>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</si>
  <si>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</si>
  <si>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</si>
  <si>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</si>
  <si>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</si>
  <si>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</si>
  <si>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</si>
  <si>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</si>
  <si>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</si>
  <si>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</si>
  <si>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</si>
  <si>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</si>
  <si>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</si>
  <si>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</si>
  <si>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</si>
  <si>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</si>
  <si>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</si>
  <si>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</si>
  <si>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</si>
  <si>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</si>
  <si>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</si>
  <si>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</si>
  <si>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</si>
  <si>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</si>
  <si>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</si>
  <si>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</si>
  <si>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</si>
  <si>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</si>
  <si>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</si>
  <si>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</si>
  <si>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</si>
  <si>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</si>
  <si>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</si>
  <si>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</si>
  <si>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</si>
  <si>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</si>
  <si>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</si>
  <si>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</si>
  <si>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</si>
  <si>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</si>
  <si>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</si>
  <si>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</si>
  <si>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</si>
  <si>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</si>
  <si>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</si>
  <si>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</si>
  <si>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</si>
  <si>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</si>
  <si>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</si>
  <si>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</si>
  <si>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</si>
  <si>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</si>
  <si>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</si>
  <si>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</si>
  <si>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</si>
  <si>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</si>
  <si>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</si>
  <si>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</si>
  <si>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</si>
  <si>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</si>
  <si>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</si>
  <si>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</si>
  <si>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</si>
  <si>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</si>
  <si>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</si>
  <si>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</si>
  <si>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</si>
  <si>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</si>
  <si>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</si>
  <si>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</si>
  <si>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</si>
  <si>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</si>
  <si>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</si>
  <si>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</si>
  <si>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</si>
  <si>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</si>
  <si>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</si>
  <si>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</si>
  <si>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</si>
  <si>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</si>
  <si>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</si>
  <si>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</si>
  <si>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</si>
  <si>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</si>
  <si>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</si>
  <si>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</si>
  <si>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</si>
  <si>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</si>
  <si>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</si>
  <si>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</si>
  <si>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</si>
  <si>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</si>
  <si>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</si>
  <si>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</si>
  <si>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</si>
  <si>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</si>
  <si>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</si>
  <si>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</si>
  <si>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</si>
  <si>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</si>
  <si>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</si>
  <si>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</si>
  <si>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</si>
  <si>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</si>
  <si>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</si>
  <si>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</si>
  <si>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</si>
  <si>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</si>
  <si>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</si>
  <si>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</si>
  <si>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</si>
  <si>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</si>
  <si>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</si>
  <si>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</si>
  <si>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</si>
  <si>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</si>
  <si>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</si>
  <si>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</si>
  <si>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</si>
  <si>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</si>
  <si>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</si>
  <si>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</si>
  <si>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</si>
  <si>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</si>
  <si>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</si>
  <si>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</si>
  <si>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</si>
  <si>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</si>
  <si>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</si>
  <si>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</si>
  <si>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</si>
  <si>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</si>
  <si>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</si>
  <si>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</si>
  <si>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</si>
  <si>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</si>
  <si>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</si>
  <si>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</si>
  <si>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</si>
  <si>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</si>
  <si>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</si>
  <si>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</si>
  <si>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</si>
  <si>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</si>
  <si>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</si>
  <si>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</si>
  <si>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</si>
  <si>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</si>
  <si>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</si>
  <si>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</si>
  <si>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</si>
  <si>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</si>
  <si>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</si>
  <si>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</si>
  <si>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</si>
  <si>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</si>
  <si>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</si>
  <si>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</si>
  <si>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</si>
  <si>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</si>
  <si>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</si>
  <si>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</si>
  <si>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</si>
  <si>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</si>
  <si>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</si>
  <si>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</si>
  <si>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</si>
  <si>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</si>
  <si>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</si>
  <si>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</si>
  <si>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</si>
  <si>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</si>
  <si>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</si>
  <si>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</si>
  <si>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</si>
  <si>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</si>
  <si>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</si>
  <si>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</si>
  <si>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</si>
  <si>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</si>
  <si>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</si>
  <si>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</si>
  <si>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</si>
  <si>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</si>
  <si>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</si>
  <si>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</si>
  <si>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</si>
  <si>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</si>
  <si>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</si>
  <si>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</si>
  <si>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</si>
  <si>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</si>
  <si>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</si>
  <si>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</si>
  <si>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</si>
  <si>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</si>
  <si>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</si>
  <si>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</si>
  <si>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</si>
  <si>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</si>
  <si>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</si>
  <si>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</si>
  <si>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</si>
  <si>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</si>
  <si>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</si>
  <si>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</si>
  <si>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</si>
  <si>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</si>
  <si>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</si>
  <si>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</si>
  <si>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</si>
  <si>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</si>
  <si>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</si>
  <si>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</si>
  <si>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</si>
  <si>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</si>
  <si>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</si>
  <si>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</si>
  <si>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</si>
  <si>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</si>
  <si>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</si>
  <si>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</si>
  <si>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</si>
  <si>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</si>
  <si>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</si>
  <si>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</si>
  <si>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</si>
  <si>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</si>
  <si>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</si>
  <si>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</si>
  <si>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</si>
  <si>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</si>
  <si>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</si>
  <si>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</si>
  <si>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</si>
  <si>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</si>
  <si>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</si>
  <si>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</si>
  <si>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</si>
  <si>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</si>
  <si>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</si>
  <si>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</si>
  <si>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</si>
  <si>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</si>
  <si>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</si>
  <si>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</si>
  <si>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</si>
  <si>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</si>
  <si>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</si>
  <si>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</si>
  <si>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</si>
  <si>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</si>
  <si>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</si>
  <si>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</si>
  <si>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</si>
  <si>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</si>
  <si>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</si>
  <si>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</si>
  <si>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</si>
  <si>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</si>
  <si>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</si>
  <si>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</si>
  <si>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</si>
  <si>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</si>
  <si>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</si>
  <si>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</si>
  <si>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</si>
  <si>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</si>
  <si>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</si>
  <si>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</si>
  <si>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</si>
  <si>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</si>
  <si>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</si>
  <si>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</si>
  <si>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</si>
  <si>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</si>
  <si>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</si>
  <si>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</si>
  <si>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</si>
  <si>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</si>
  <si>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</si>
  <si>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</si>
  <si>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</si>
  <si>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</si>
  <si>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</si>
  <si>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</si>
  <si>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</si>
  <si>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</si>
  <si>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</si>
  <si>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</si>
  <si>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</si>
  <si>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</si>
  <si>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</si>
  <si>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</si>
  <si>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</si>
  <si>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</si>
  <si>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</si>
  <si>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</si>
  <si>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</si>
  <si>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</si>
  <si>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</si>
  <si>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</si>
  <si>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</si>
  <si>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</si>
  <si>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</si>
  <si>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</si>
  <si>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</si>
  <si>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</si>
  <si>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</si>
  <si>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</si>
  <si>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</si>
  <si>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</si>
  <si>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</si>
  <si>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</si>
  <si>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</si>
  <si>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</si>
  <si>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</si>
  <si>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</si>
  <si>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</si>
  <si>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</si>
  <si>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</si>
  <si>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</si>
  <si>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</si>
  <si>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</si>
  <si>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</si>
  <si>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</si>
  <si>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</si>
  <si>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</si>
  <si>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</si>
  <si>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</si>
  <si>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</si>
  <si>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</si>
  <si>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</si>
  <si>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</si>
  <si>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</si>
  <si>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</si>
  <si>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</si>
  <si>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</si>
  <si>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</si>
  <si>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</si>
  <si>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</si>
  <si>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</si>
  <si>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</si>
  <si>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</si>
  <si>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</si>
  <si>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</si>
  <si>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</si>
  <si>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</si>
  <si>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</si>
  <si>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</si>
  <si>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</si>
  <si>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</si>
  <si>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</si>
  <si>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</si>
  <si>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</si>
  <si>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</si>
  <si>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</si>
  <si>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</si>
  <si>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</si>
  <si>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</si>
  <si>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</si>
  <si>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</si>
  <si>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</si>
  <si>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</si>
  <si>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</si>
  <si>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</si>
  <si>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</si>
  <si>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</si>
  <si>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</si>
  <si>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</si>
  <si>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</si>
  <si>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</si>
  <si>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</si>
  <si>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</si>
  <si>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</si>
  <si>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</si>
  <si>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</si>
  <si>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</si>
  <si>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</si>
  <si>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</si>
  <si>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</si>
  <si>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</si>
  <si>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</si>
  <si>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</si>
  <si>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</si>
  <si>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</si>
  <si>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</si>
  <si>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</si>
  <si>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</si>
  <si>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</si>
  <si>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</si>
  <si>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</si>
  <si>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</si>
  <si>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</si>
  <si>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</si>
  <si>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</si>
  <si>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</si>
  <si>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</si>
  <si>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</si>
  <si>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</si>
  <si>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</si>
  <si>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</si>
  <si>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</si>
  <si>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</si>
  <si>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</si>
  <si>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</si>
  <si>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</si>
  <si>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</si>
  <si>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</si>
  <si>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</si>
  <si>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</si>
  <si>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</si>
  <si>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</si>
  <si>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</si>
  <si>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</si>
  <si>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</si>
  <si>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</si>
  <si>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</si>
  <si>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</si>
  <si>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</si>
  <si>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</si>
  <si>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</si>
  <si>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</si>
  <si>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</si>
  <si>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</si>
  <si>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</si>
  <si>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</si>
  <si>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</si>
  <si>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</si>
  <si>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</si>
  <si>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</si>
  <si>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</si>
  <si>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</si>
  <si>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</si>
  <si>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</si>
  <si>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</si>
  <si>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</si>
  <si>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</si>
  <si>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</si>
  <si>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</si>
  <si>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</si>
  <si>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</si>
  <si>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</si>
  <si>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</si>
  <si>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</si>
  <si>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</si>
  <si>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</si>
  <si>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</si>
  <si>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</si>
  <si>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</si>
  <si>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</si>
  <si>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</si>
  <si>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</si>
  <si>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</si>
  <si>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</si>
  <si>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</si>
  <si>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</si>
  <si>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</si>
  <si>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</si>
  <si>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</si>
  <si>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</si>
  <si>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</si>
  <si>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</si>
  <si>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</si>
  <si>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</si>
  <si>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</si>
  <si>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</si>
  <si>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</si>
  <si>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</si>
  <si>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</si>
  <si>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</si>
  <si>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</si>
  <si>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</si>
  <si>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</si>
  <si>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</si>
  <si>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</si>
  <si>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</si>
  <si>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</si>
  <si>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</si>
  <si>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</si>
  <si>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</si>
  <si>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</si>
  <si>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</si>
  <si>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</si>
  <si>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</si>
  <si>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</si>
  <si>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</si>
  <si>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</si>
  <si>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</si>
  <si>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</si>
  <si>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</si>
  <si>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</si>
  <si>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</si>
  <si>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</si>
  <si>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</si>
  <si>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</si>
  <si>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</si>
  <si>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</si>
  <si>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</si>
  <si>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</si>
  <si>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</si>
  <si>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</si>
  <si>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</si>
  <si>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</si>
  <si>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</si>
  <si>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</si>
  <si>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</si>
  <si>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</si>
  <si>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</si>
  <si>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</si>
  <si>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</si>
  <si>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</si>
  <si>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</si>
  <si>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</si>
  <si>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</si>
  <si>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</si>
  <si>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</si>
  <si>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</si>
  <si>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</si>
  <si>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</si>
  <si>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</si>
  <si>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</si>
  <si>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</si>
  <si>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</si>
  <si>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</si>
  <si>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</si>
  <si>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</si>
  <si>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</si>
  <si>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</si>
  <si>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</si>
  <si>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</si>
  <si>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</si>
  <si>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</si>
  <si>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</si>
  <si>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</si>
  <si>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</si>
  <si>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</si>
  <si>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</si>
  <si>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</si>
  <si>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</si>
  <si>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</si>
  <si>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</si>
  <si>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</si>
  <si>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</si>
  <si>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</si>
  <si>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</si>
  <si>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</si>
  <si>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</si>
  <si>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</si>
  <si>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</si>
  <si>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</si>
  <si>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</si>
  <si>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</si>
  <si>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</si>
  <si>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</si>
  <si>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</si>
  <si>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</si>
  <si>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</si>
  <si>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</si>
  <si>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</si>
  <si>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</si>
  <si>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</si>
  <si>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</si>
  <si>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</si>
  <si>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</si>
  <si>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</si>
  <si>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</si>
  <si>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</si>
  <si>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</si>
  <si>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</si>
  <si>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</si>
  <si>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</si>
  <si>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</si>
  <si>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</si>
  <si>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</si>
  <si>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</si>
  <si>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</si>
  <si>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</si>
  <si>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</si>
  <si>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</si>
  <si>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</si>
  <si>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</si>
  <si>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</si>
  <si>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</si>
  <si>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</si>
  <si>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</si>
  <si>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</si>
  <si>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</si>
  <si>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</si>
  <si>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</si>
  <si>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</si>
  <si>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</si>
  <si>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</si>
  <si>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</si>
  <si>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</si>
  <si>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</si>
  <si>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</si>
  <si>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</si>
  <si>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</si>
  <si>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</si>
  <si>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</si>
  <si>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</si>
  <si>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</si>
  <si>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</si>
  <si>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</si>
  <si>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</si>
  <si>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</si>
  <si>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</si>
  <si>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</si>
  <si>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</si>
  <si>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</si>
  <si>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</si>
  <si>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</si>
  <si>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</si>
  <si>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</si>
  <si>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</si>
  <si>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</si>
  <si>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</si>
  <si>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</si>
  <si>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</si>
  <si>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</si>
  <si>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</si>
  <si>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</si>
  <si>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</si>
  <si>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</si>
  <si>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</si>
  <si>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</si>
  <si>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</si>
  <si>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</si>
  <si>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</si>
  <si>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</si>
  <si>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</si>
  <si>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</si>
  <si>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</si>
  <si>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</si>
  <si>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</si>
  <si>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</si>
  <si>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</si>
  <si>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</si>
  <si>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</si>
  <si>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</si>
  <si>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</si>
  <si>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</si>
  <si>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</si>
  <si>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</si>
  <si>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</si>
  <si>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</si>
  <si>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</si>
  <si>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</si>
  <si>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</si>
  <si>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</si>
  <si>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</si>
  <si>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</si>
  <si>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</si>
  <si>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</si>
  <si>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</si>
  <si>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</si>
  <si>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</si>
  <si>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</si>
  <si>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</si>
  <si>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</si>
  <si>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</si>
  <si>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</si>
  <si>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</si>
  <si>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</si>
  <si>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</si>
  <si>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</si>
  <si>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</si>
  <si>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</si>
  <si>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</si>
  <si>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</si>
  <si>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</si>
  <si>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</si>
  <si>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</si>
  <si>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</si>
  <si>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</si>
  <si>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</si>
  <si>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</si>
  <si>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</si>
  <si>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</si>
  <si>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</si>
  <si>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</si>
  <si>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</si>
  <si>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</si>
  <si>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</si>
  <si>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</si>
  <si>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</si>
  <si>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</si>
  <si>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</si>
  <si>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</si>
  <si>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</si>
  <si>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</si>
  <si>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</si>
  <si>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</si>
  <si>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</si>
  <si>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</si>
  <si>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</si>
  <si>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</si>
  <si>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</si>
  <si>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</si>
  <si>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</si>
  <si>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</si>
  <si>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</si>
  <si>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</si>
  <si>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</si>
  <si>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</si>
  <si>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</si>
  <si>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</si>
  <si>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</si>
  <si>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</si>
  <si>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</si>
  <si>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</si>
  <si>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</si>
  <si>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</si>
  <si>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</si>
  <si>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</si>
  <si>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</si>
  <si>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</si>
  <si>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</si>
  <si>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</si>
  <si>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</si>
  <si>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</si>
  <si>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</si>
  <si>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</si>
  <si>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</si>
  <si>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</si>
  <si>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</si>
  <si>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</si>
  <si>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</si>
  <si>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</si>
  <si>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</si>
  <si>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</si>
  <si>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</si>
  <si>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</si>
  <si>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</si>
  <si>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</si>
  <si>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</si>
  <si>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</si>
  <si>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</si>
  <si>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</si>
  <si>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</si>
  <si>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</si>
  <si>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</si>
  <si>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</si>
  <si>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</si>
  <si>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</si>
  <si>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</si>
  <si>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</si>
  <si>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</si>
  <si>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</si>
  <si>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</si>
  <si>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</si>
  <si>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</si>
  <si>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</si>
  <si>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</si>
  <si>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</si>
  <si>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</si>
  <si>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</si>
  <si>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</si>
  <si>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</si>
  <si>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</si>
  <si>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</si>
  <si>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</si>
  <si>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</si>
  <si>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</si>
  <si>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</si>
  <si>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</si>
  <si>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</si>
  <si>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</si>
  <si>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</si>
  <si>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</si>
  <si>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</si>
  <si>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</si>
  <si>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</si>
  <si>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</si>
  <si>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</si>
  <si>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</si>
  <si>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</si>
  <si>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</si>
  <si>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</si>
  <si>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</si>
  <si>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</si>
  <si>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</si>
  <si>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</si>
  <si>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</si>
  <si>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</si>
  <si>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</si>
  <si>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</si>
  <si>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</si>
  <si>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</si>
  <si>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</si>
  <si>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</si>
  <si>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</si>
  <si>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</si>
  <si>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</si>
  <si>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</si>
  <si>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</si>
  <si>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</si>
  <si>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</si>
  <si>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</si>
  <si>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</si>
  <si>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</si>
  <si>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</si>
  <si>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</si>
  <si>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</si>
  <si>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</si>
  <si>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</si>
  <si>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</si>
  <si>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</si>
  <si>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</si>
  <si>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</si>
  <si>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</si>
  <si>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</si>
  <si>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</si>
  <si>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</si>
  <si>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</si>
  <si>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</si>
  <si>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</si>
  <si>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</si>
  <si>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</si>
  <si>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</si>
  <si>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</si>
  <si>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</si>
  <si>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</si>
  <si>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</si>
  <si>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</si>
  <si>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</si>
  <si>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</si>
  <si>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</si>
  <si>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</si>
  <si>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</si>
  <si>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</si>
  <si>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</si>
  <si>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</si>
  <si>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</si>
  <si>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</si>
  <si>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</si>
  <si>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</si>
  <si>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</si>
  <si>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</si>
  <si>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</si>
  <si>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</si>
  <si>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</si>
  <si>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</si>
  <si>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</si>
  <si>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</si>
  <si>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</si>
  <si>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</si>
  <si>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</si>
  <si>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</si>
  <si>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</si>
  <si>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</si>
  <si>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</si>
  <si>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</si>
  <si>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</si>
  <si>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</si>
  <si>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</si>
  <si>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</si>
  <si>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</si>
  <si>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</si>
  <si>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</si>
  <si>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</si>
  <si>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</si>
  <si>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</si>
  <si>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</si>
  <si>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</si>
  <si>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</si>
  <si>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</si>
  <si>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</si>
  <si>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</si>
  <si>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</si>
  <si>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</si>
  <si>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</si>
  <si>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</si>
  <si>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</si>
  <si>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</si>
  <si>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</si>
  <si>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</si>
  <si>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</si>
  <si>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</si>
  <si>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</si>
  <si>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</si>
  <si>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</si>
  <si>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</si>
  <si>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</si>
  <si>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</si>
  <si>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</si>
  <si>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</si>
  <si>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</si>
  <si>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</si>
  <si>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</si>
  <si>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</si>
  <si>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</si>
  <si>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</si>
  <si>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</si>
  <si>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</si>
  <si>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</si>
  <si>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</si>
  <si>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</si>
  <si>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</si>
  <si>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</si>
  <si>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</si>
  <si>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</si>
  <si>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</si>
  <si>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</si>
  <si>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</si>
  <si>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</si>
  <si>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</si>
  <si>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</si>
  <si>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</si>
  <si>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</si>
  <si>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</si>
  <si>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</si>
  <si>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</si>
  <si>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</si>
  <si>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</si>
  <si>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</si>
  <si>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</si>
  <si>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</si>
  <si>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</si>
  <si>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</si>
  <si>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</si>
  <si>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</si>
  <si>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</si>
  <si>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</si>
  <si>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</si>
  <si>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</si>
  <si>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</si>
  <si>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</si>
  <si>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</si>
  <si>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</si>
  <si>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</si>
  <si>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</si>
  <si>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</si>
  <si>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</si>
  <si>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</si>
  <si>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</si>
  <si>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</si>
  <si>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</si>
  <si>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</si>
  <si>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</si>
  <si>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</si>
  <si>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</si>
  <si>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</si>
  <si>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</si>
  <si>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</si>
  <si>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</si>
  <si>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</si>
  <si>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</si>
  <si>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</si>
  <si>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</si>
  <si>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</si>
  <si>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</si>
  <si>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</si>
  <si>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</si>
  <si>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</si>
  <si>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</si>
  <si>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</si>
  <si>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</si>
  <si>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</si>
  <si>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</si>
  <si>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</si>
  <si>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</si>
  <si>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</si>
  <si>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</si>
  <si>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</si>
  <si>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</si>
  <si>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</si>
  <si>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</si>
  <si>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</si>
  <si>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</si>
  <si>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</si>
  <si>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</si>
  <si>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</si>
  <si>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</si>
  <si>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</si>
  <si>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</si>
  <si>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</si>
  <si>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</si>
  <si>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</si>
  <si>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</si>
  <si>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</si>
  <si>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</si>
  <si>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</si>
  <si>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</si>
  <si>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</si>
  <si>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</si>
  <si>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</si>
  <si>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</si>
  <si>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</si>
  <si>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</si>
  <si>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</si>
  <si>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</si>
  <si>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</si>
  <si>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</si>
  <si>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</si>
  <si>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</si>
  <si>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</si>
  <si>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</si>
  <si>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</si>
  <si>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</si>
  <si>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</si>
  <si>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Total Penjualan</t>
  </si>
  <si>
    <t>Jumlah Produk Terjual</t>
  </si>
  <si>
    <t>Total Penjualan Sudah Dikurangi Pajak</t>
  </si>
  <si>
    <t>Rata-rata Rating</t>
  </si>
  <si>
    <t>Sum of Total</t>
  </si>
  <si>
    <t>Sum of Quantity</t>
  </si>
  <si>
    <t>Sum of cogs</t>
  </si>
  <si>
    <t>Average of Rating</t>
  </si>
  <si>
    <t>Row Labels</t>
  </si>
  <si>
    <t>Grand Total</t>
  </si>
  <si>
    <t>Jan</t>
  </si>
  <si>
    <t>Feb</t>
  </si>
  <si>
    <t>Mar</t>
  </si>
  <si>
    <t>Apr</t>
  </si>
  <si>
    <t>May</t>
  </si>
  <si>
    <t>Jun</t>
  </si>
  <si>
    <t>Jul</t>
  </si>
  <si>
    <t>Aug</t>
  </si>
  <si>
    <t>Sep</t>
  </si>
  <si>
    <t>Oct</t>
  </si>
  <si>
    <t>Nov</t>
  </si>
  <si>
    <t>Dec</t>
  </si>
  <si>
    <t>Count of Payment</t>
  </si>
  <si>
    <t>Performance Sales Dashboard, Daily Report Resposive and Interactive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</si>
</sst>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09]#,##0"/>
  </numFmts>
  <fonts count="8" x14ac:knownFonts="1">
    <font>
      <sz val="11"/>
      <color theme="1"/>
      <name val="Calibri"/>
      <scheme val="minor"/>
    </font>
    <font>
      <sz val="11"/>
      <color theme="1"/>
      <name val="Calibri"/>
      <family val="2"/>
      <scheme val="minor"/>
    </font>
    <font>
      <sz val="11"/>
      <color theme="1"/>
      <name val="Calibri"/>
      <family val="2"/>
    </font>
    <font>
      <b/>
      <sz val="11"/>
      <color theme="1"/>
      <name val="Calibri"/>
      <family val="2"/>
      <scheme val="minor"/>
    </font>
    <font>
      <b/>
      <sz val="11"/>
      <color theme="1"/>
      <name val="Times New Roman"/>
      <family val="1"/>
    </font>
    <font>
      <b/>
      <sz val="10"/>
      <color theme="1"/>
      <name val="Times New Roman"/>
      <family val="1"/>
    </font>
    <font>
      <sz val="16"/>
      <color theme="1"/>
      <name val="Times New Roman"/>
      <family val="1"/>
    </font>
    <font>
      <b/>
      <sz val="36"/>
      <color theme="1"/>
      <name val="Times New Roman"/>
      <family val="1"/>
    </font>
  </fonts>
  <fills count="9">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1" fillId="4" borderId="0" xfId="0" applyFont="1" applyFill="1"/>
    <xf numFmtId="14" fontId="2" fillId="4" borderId="0" xfId="0" applyNumberFormat="1" applyFont="1" applyFill="1"/>
    <xf numFmtId="21" fontId="2" fillId="4" borderId="0" xfId="0" applyNumberFormat="1" applyFont="1" applyFill="1"/>
    <xf numFmtId="0" fontId="0" fillId="5" borderId="0" xfId="0" applyFill="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5" borderId="0" xfId="0" applyFill="1" applyBorder="1"/>
    <xf numFmtId="0" fontId="0" fillId="7" borderId="3" xfId="0" applyFill="1" applyBorder="1"/>
    <xf numFmtId="0" fontId="0" fillId="7" borderId="0" xfId="0" applyFill="1" applyBorder="1"/>
    <xf numFmtId="0" fontId="0" fillId="7" borderId="4" xfId="0" applyFill="1" applyBorder="1"/>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7" fillId="7" borderId="0" xfId="0" applyFont="1" applyFill="1" applyBorder="1"/>
    <xf numFmtId="0" fontId="4" fillId="7" borderId="0" xfId="0" applyFont="1" applyFill="1" applyBorder="1"/>
    <xf numFmtId="0" fontId="0" fillId="7" borderId="5" xfId="0" applyFill="1" applyBorder="1"/>
    <xf numFmtId="0" fontId="3" fillId="7" borderId="6" xfId="0" applyFont="1" applyFill="1" applyBorder="1"/>
    <xf numFmtId="0" fontId="0" fillId="7" borderId="6" xfId="0" applyFill="1" applyBorder="1"/>
    <xf numFmtId="0" fontId="0" fillId="7" borderId="7" xfId="0" applyFill="1" applyBorder="1"/>
    <xf numFmtId="0" fontId="0" fillId="5" borderId="8" xfId="0" applyFill="1" applyBorder="1"/>
    <xf numFmtId="0" fontId="0" fillId="5" borderId="9" xfId="0" applyFill="1" applyBorder="1"/>
    <xf numFmtId="0" fontId="0" fillId="5" borderId="10" xfId="0" applyFill="1" applyBorder="1"/>
    <xf numFmtId="165" fontId="6" fillId="8" borderId="2" xfId="0" applyNumberFormat="1" applyFont="1" applyFill="1" applyBorder="1" applyAlignment="1">
      <alignment horizontal="center" vertical="center"/>
    </xf>
    <xf numFmtId="0" fontId="6" fillId="8" borderId="2" xfId="0" applyFont="1" applyFill="1" applyBorder="1" applyAlignment="1">
      <alignment horizontal="center" vertical="center"/>
    </xf>
  </cellXfs>
  <cellStyles count="1">
    <cellStyle name="Normal" xfId="0" builtinId="0"/>
  </cellStyles>
  <dxfs count="75">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
      <numFmt numFmtId="165" formatCode="[$$-10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Pivot'!$B$21</c:f>
              <c:strCache>
                <c:ptCount val="1"/>
                <c:pt idx="0">
                  <c:v>Total</c:v>
                </c:pt>
              </c:strCache>
            </c:strRef>
          </c:tx>
          <c:spPr>
            <a:ln w="28575" cap="rnd">
              <a:solidFill>
                <a:schemeClr val="accent1"/>
              </a:solidFill>
              <a:round/>
            </a:ln>
            <a:effectLst/>
          </c:spPr>
          <c:marker>
            <c:symbol val="none"/>
          </c:marker>
          <c:cat>
            <c:strRef>
              <c:f>'Analisis 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 Pivot'!$B$22:$B$34</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4FC3-4AF6-B7D1-2B822723B991}"/>
            </c:ext>
          </c:extLst>
        </c:ser>
        <c:dLbls>
          <c:showLegendKey val="0"/>
          <c:showVal val="0"/>
          <c:showCatName val="0"/>
          <c:showSerName val="0"/>
          <c:showPercent val="0"/>
          <c:showBubbleSize val="0"/>
        </c:dLbls>
        <c:smooth val="0"/>
        <c:axId val="256497855"/>
        <c:axId val="256499295"/>
      </c:lineChart>
      <c:catAx>
        <c:axId val="2564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499295"/>
        <c:crosses val="autoZero"/>
        <c:auto val="1"/>
        <c:lblAlgn val="ctr"/>
        <c:lblOffset val="100"/>
        <c:noMultiLvlLbl val="0"/>
      </c:catAx>
      <c:valAx>
        <c:axId val="256499295"/>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49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Pivot'!$B$40</c:f>
              <c:strCache>
                <c:ptCount val="1"/>
                <c:pt idx="0">
                  <c:v>Total</c:v>
                </c:pt>
              </c:strCache>
            </c:strRef>
          </c:tx>
          <c:spPr>
            <a:solidFill>
              <a:schemeClr val="accent1"/>
            </a:solidFill>
            <a:ln>
              <a:noFill/>
            </a:ln>
            <a:effectLst/>
          </c:spPr>
          <c:invertIfNegative val="0"/>
          <c:cat>
            <c:strRef>
              <c:f>'Analisis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 Pivot'!$B$41:$B$47</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2D47-41FF-B925-6ED7E5E4E06C}"/>
            </c:ext>
          </c:extLst>
        </c:ser>
        <c:dLbls>
          <c:showLegendKey val="0"/>
          <c:showVal val="0"/>
          <c:showCatName val="0"/>
          <c:showSerName val="0"/>
          <c:showPercent val="0"/>
          <c:showBubbleSize val="0"/>
        </c:dLbls>
        <c:gapWidth val="219"/>
        <c:overlap val="-27"/>
        <c:axId val="340193455"/>
        <c:axId val="340202575"/>
      </c:barChart>
      <c:catAx>
        <c:axId val="34019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02575"/>
        <c:crosses val="autoZero"/>
        <c:auto val="1"/>
        <c:lblAlgn val="ctr"/>
        <c:lblOffset val="100"/>
        <c:noMultiLvlLbl val="0"/>
      </c:catAx>
      <c:valAx>
        <c:axId val="340202575"/>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19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565398075240597"/>
          <c:y val="0.21199146981627295"/>
          <c:w val="0.3964700349956255"/>
          <c:h val="0.66078339165937583"/>
        </c:manualLayout>
      </c:layout>
      <c:pieChart>
        <c:varyColors val="1"/>
        <c:ser>
          <c:idx val="0"/>
          <c:order val="0"/>
          <c:tx>
            <c:strRef>
              <c:f>'Analisis Pivot'!$B$56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B25-4ABF-A443-2ED9595BB33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B25-4ABF-A443-2ED9595BB33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B25-4ABF-A443-2ED9595BB33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 Pivot'!$A$57:$A$60</c:f>
              <c:strCache>
                <c:ptCount val="3"/>
                <c:pt idx="0">
                  <c:v>Cash</c:v>
                </c:pt>
                <c:pt idx="1">
                  <c:v>Credit card</c:v>
                </c:pt>
                <c:pt idx="2">
                  <c:v>Ewallet</c:v>
                </c:pt>
              </c:strCache>
            </c:strRef>
          </c:cat>
          <c:val>
            <c:numRef>
              <c:f>'Analisis Pivot'!$B$57:$B$60</c:f>
              <c:numCache>
                <c:formatCode>General</c:formatCode>
                <c:ptCount val="3"/>
                <c:pt idx="0">
                  <c:v>344</c:v>
                </c:pt>
                <c:pt idx="1">
                  <c:v>311</c:v>
                </c:pt>
                <c:pt idx="2">
                  <c:v>345</c:v>
                </c:pt>
              </c:numCache>
            </c:numRef>
          </c:val>
          <c:extLst>
            <c:ext xmlns:c16="http://schemas.microsoft.com/office/drawing/2014/chart" uri="{C3380CC4-5D6E-409C-BE32-E72D297353CC}">
              <c16:uniqueId val="{00000000-1B25-4ABF-A443-2ED9595BB33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Pivot'!$B$74</c:f>
              <c:strCache>
                <c:ptCount val="1"/>
                <c:pt idx="0">
                  <c:v>Total</c:v>
                </c:pt>
              </c:strCache>
            </c:strRef>
          </c:tx>
          <c:spPr>
            <a:solidFill>
              <a:schemeClr val="accent1"/>
            </a:solidFill>
            <a:ln>
              <a:noFill/>
            </a:ln>
            <a:effectLst/>
          </c:spPr>
          <c:invertIfNegative val="0"/>
          <c:cat>
            <c:strRef>
              <c:f>'Analisis Pivot'!$A$75:$A$78</c:f>
              <c:strCache>
                <c:ptCount val="3"/>
                <c:pt idx="0">
                  <c:v>Mandalay</c:v>
                </c:pt>
                <c:pt idx="1">
                  <c:v>Naypyitaw</c:v>
                </c:pt>
                <c:pt idx="2">
                  <c:v>Yangon</c:v>
                </c:pt>
              </c:strCache>
            </c:strRef>
          </c:cat>
          <c:val>
            <c:numRef>
              <c:f>'Analisis Pivot'!$B$75:$B$78</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B3AC-4224-A3DB-1DB72AF3934A}"/>
            </c:ext>
          </c:extLst>
        </c:ser>
        <c:dLbls>
          <c:showLegendKey val="0"/>
          <c:showVal val="0"/>
          <c:showCatName val="0"/>
          <c:showSerName val="0"/>
          <c:showPercent val="0"/>
          <c:showBubbleSize val="0"/>
        </c:dLbls>
        <c:gapWidth val="182"/>
        <c:axId val="340238095"/>
        <c:axId val="340222255"/>
      </c:barChart>
      <c:catAx>
        <c:axId val="34023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22255"/>
        <c:crosses val="autoZero"/>
        <c:auto val="1"/>
        <c:lblAlgn val="ctr"/>
        <c:lblOffset val="100"/>
        <c:noMultiLvlLbl val="0"/>
      </c:catAx>
      <c:valAx>
        <c:axId val="34022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3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Pivot'!$B$21</c:f>
              <c:strCache>
                <c:ptCount val="1"/>
                <c:pt idx="0">
                  <c:v>Total</c:v>
                </c:pt>
              </c:strCache>
            </c:strRef>
          </c:tx>
          <c:spPr>
            <a:ln w="28575" cap="rnd">
              <a:solidFill>
                <a:schemeClr val="accent1"/>
              </a:solidFill>
              <a:round/>
            </a:ln>
            <a:effectLst/>
          </c:spPr>
          <c:marker>
            <c:symbol val="none"/>
          </c:marker>
          <c:cat>
            <c:strRef>
              <c:f>'Analisis 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 Pivot'!$B$22:$B$34</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1D2C-479C-A646-3AF95374E8F0}"/>
            </c:ext>
          </c:extLst>
        </c:ser>
        <c:dLbls>
          <c:showLegendKey val="0"/>
          <c:showVal val="0"/>
          <c:showCatName val="0"/>
          <c:showSerName val="0"/>
          <c:showPercent val="0"/>
          <c:showBubbleSize val="0"/>
        </c:dLbls>
        <c:smooth val="0"/>
        <c:axId val="256497855"/>
        <c:axId val="256499295"/>
      </c:lineChart>
      <c:catAx>
        <c:axId val="2564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499295"/>
        <c:crosses val="autoZero"/>
        <c:auto val="1"/>
        <c:lblAlgn val="ctr"/>
        <c:lblOffset val="100"/>
        <c:noMultiLvlLbl val="0"/>
      </c:catAx>
      <c:valAx>
        <c:axId val="256499295"/>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49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a:t>
            </a:r>
            <a:r>
              <a:rPr lang="en-US" baseline="0"/>
              <a:t> Terjual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Pivot'!$B$40</c:f>
              <c:strCache>
                <c:ptCount val="1"/>
                <c:pt idx="0">
                  <c:v>Total</c:v>
                </c:pt>
              </c:strCache>
            </c:strRef>
          </c:tx>
          <c:spPr>
            <a:solidFill>
              <a:schemeClr val="accent1"/>
            </a:solidFill>
            <a:ln>
              <a:noFill/>
            </a:ln>
            <a:effectLst/>
          </c:spPr>
          <c:invertIfNegative val="0"/>
          <c:cat>
            <c:strRef>
              <c:f>'Analisis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 Pivot'!$B$41:$B$47</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27F2-4349-84FB-A73B01ECC7C5}"/>
            </c:ext>
          </c:extLst>
        </c:ser>
        <c:dLbls>
          <c:showLegendKey val="0"/>
          <c:showVal val="0"/>
          <c:showCatName val="0"/>
          <c:showSerName val="0"/>
          <c:showPercent val="0"/>
          <c:showBubbleSize val="0"/>
        </c:dLbls>
        <c:gapWidth val="60"/>
        <c:overlap val="-27"/>
        <c:axId val="340193455"/>
        <c:axId val="340202575"/>
      </c:barChart>
      <c:catAx>
        <c:axId val="34019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02575"/>
        <c:crosses val="autoZero"/>
        <c:auto val="1"/>
        <c:lblAlgn val="ctr"/>
        <c:lblOffset val="100"/>
        <c:noMultiLvlLbl val="0"/>
      </c:catAx>
      <c:valAx>
        <c:axId val="340202575"/>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19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Supermarket-Latihan.xlsx]Analisis Pivot!PivotTable9</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METODE PEMBAYARAN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72932045189543"/>
          <c:y val="0.20689003728212779"/>
          <c:w val="0.62258264209840963"/>
          <c:h val="0.6259941248778701"/>
        </c:manualLayout>
      </c:layout>
      <c:pieChart>
        <c:varyColors val="1"/>
        <c:ser>
          <c:idx val="0"/>
          <c:order val="0"/>
          <c:tx>
            <c:strRef>
              <c:f>'Analisis Pivot'!$B$56</c:f>
              <c:strCache>
                <c:ptCount val="1"/>
                <c:pt idx="0">
                  <c:v>Total</c:v>
                </c:pt>
              </c:strCache>
            </c:strRef>
          </c:tx>
          <c:dPt>
            <c:idx val="0"/>
            <c:bubble3D val="0"/>
            <c:spPr>
              <a:solidFill>
                <a:schemeClr val="accent1">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43E-4E56-81B4-CDB529ACE088}"/>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43E-4E56-81B4-CDB529ACE088}"/>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43E-4E56-81B4-CDB529ACE08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43E-4E56-81B4-CDB529ACE08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43E-4E56-81B4-CDB529ACE08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43E-4E56-81B4-CDB529ACE08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 Pivot'!$A$57:$A$60</c:f>
              <c:strCache>
                <c:ptCount val="3"/>
                <c:pt idx="0">
                  <c:v>Cash</c:v>
                </c:pt>
                <c:pt idx="1">
                  <c:v>Credit card</c:v>
                </c:pt>
                <c:pt idx="2">
                  <c:v>Ewallet</c:v>
                </c:pt>
              </c:strCache>
            </c:strRef>
          </c:cat>
          <c:val>
            <c:numRef>
              <c:f>'Analisis Pivot'!$B$57:$B$60</c:f>
              <c:numCache>
                <c:formatCode>General</c:formatCode>
                <c:ptCount val="3"/>
                <c:pt idx="0">
                  <c:v>344</c:v>
                </c:pt>
                <c:pt idx="1">
                  <c:v>311</c:v>
                </c:pt>
                <c:pt idx="2">
                  <c:v>345</c:v>
                </c:pt>
              </c:numCache>
            </c:numRef>
          </c:val>
          <c:extLst>
            <c:ext xmlns:c16="http://schemas.microsoft.com/office/drawing/2014/chart" uri="{C3380CC4-5D6E-409C-BE32-E72D297353CC}">
              <c16:uniqueId val="{00000006-E43E-4E56-81B4-CDB529ACE08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 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Berdasarkan Kota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Pivot'!$B$74</c:f>
              <c:strCache>
                <c:ptCount val="1"/>
                <c:pt idx="0">
                  <c:v>Total</c:v>
                </c:pt>
              </c:strCache>
            </c:strRef>
          </c:tx>
          <c:spPr>
            <a:solidFill>
              <a:schemeClr val="accent1"/>
            </a:solidFill>
            <a:ln>
              <a:noFill/>
            </a:ln>
            <a:effectLst/>
          </c:spPr>
          <c:invertIfNegative val="0"/>
          <c:cat>
            <c:strRef>
              <c:f>'Analisis Pivot'!$A$75:$A$78</c:f>
              <c:strCache>
                <c:ptCount val="3"/>
                <c:pt idx="0">
                  <c:v>Mandalay</c:v>
                </c:pt>
                <c:pt idx="1">
                  <c:v>Naypyitaw</c:v>
                </c:pt>
                <c:pt idx="2">
                  <c:v>Yangon</c:v>
                </c:pt>
              </c:strCache>
            </c:strRef>
          </c:cat>
          <c:val>
            <c:numRef>
              <c:f>'Analisis Pivot'!$B$75:$B$78</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BA58-4F32-87BD-D56E04DAC79F}"/>
            </c:ext>
          </c:extLst>
        </c:ser>
        <c:dLbls>
          <c:showLegendKey val="0"/>
          <c:showVal val="0"/>
          <c:showCatName val="0"/>
          <c:showSerName val="0"/>
          <c:showPercent val="0"/>
          <c:showBubbleSize val="0"/>
        </c:dLbls>
        <c:gapWidth val="60"/>
        <c:axId val="340238095"/>
        <c:axId val="340222255"/>
      </c:barChart>
      <c:catAx>
        <c:axId val="34023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22255"/>
        <c:crosses val="autoZero"/>
        <c:auto val="1"/>
        <c:lblAlgn val="ctr"/>
        <c:lblOffset val="100"/>
        <c:noMultiLvlLbl val="0"/>
      </c:catAx>
      <c:valAx>
        <c:axId val="34022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3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20</xdr:row>
      <xdr:rowOff>7620</xdr:rowOff>
    </xdr:from>
    <xdr:to>
      <xdr:col>9</xdr:col>
      <xdr:colOff>480060</xdr:colOff>
      <xdr:row>33</xdr:row>
      <xdr:rowOff>125730</xdr:rowOff>
    </xdr:to>
    <xdr:graphicFrame macro="">
      <xdr:nvGraphicFramePr>
        <xdr:cNvPr id="4" name="Chart 3">
          <a:extLst>
            <a:ext uri="{FF2B5EF4-FFF2-40B4-BE49-F238E27FC236}">
              <a16:creationId xmlns:a16="http://schemas.microsoft.com/office/drawing/2014/main" id="{B77E1041-43B3-6D40-2E26-EA8E3FB74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541020</xdr:colOff>
      <xdr:row>37</xdr:row>
      <xdr:rowOff>34290</xdr:rowOff>
    </xdr:from>
    <xdr:to>
      <xdr:col>10</xdr:col>
      <xdr:colOff>236220</xdr:colOff>
      <xdr:row>52</xdr:row>
      <xdr:rowOff>34290</xdr:rowOff>
    </xdr:to>
    <xdr:graphicFrame macro="">
      <xdr:nvGraphicFramePr>
        <xdr:cNvPr id="5" name="Chart 4">
          <a:extLst>
            <a:ext uri="{FF2B5EF4-FFF2-40B4-BE49-F238E27FC236}">
              <a16:creationId xmlns:a16="http://schemas.microsoft.com/office/drawing/2014/main" id="{55747461-C0F0-3497-91BE-8AEA9BC80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54</xdr:row>
      <xdr:rowOff>110490</xdr:rowOff>
    </xdr:from>
    <xdr:to>
      <xdr:col>10</xdr:col>
      <xdr:colOff>167640</xdr:colOff>
      <xdr:row>69</xdr:row>
      <xdr:rowOff>110490</xdr:rowOff>
    </xdr:to>
    <xdr:graphicFrame macro="">
      <xdr:nvGraphicFramePr>
        <xdr:cNvPr id="6" name="Chart 5">
          <a:extLst>
            <a:ext uri="{FF2B5EF4-FFF2-40B4-BE49-F238E27FC236}">
              <a16:creationId xmlns:a16="http://schemas.microsoft.com/office/drawing/2014/main" id="{BAF1DC03-4864-C8AD-0BA3-91A40A7F3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518160</xdr:colOff>
      <xdr:row>71</xdr:row>
      <xdr:rowOff>140970</xdr:rowOff>
    </xdr:from>
    <xdr:to>
      <xdr:col>10</xdr:col>
      <xdr:colOff>213360</xdr:colOff>
      <xdr:row>86</xdr:row>
      <xdr:rowOff>140970</xdr:rowOff>
    </xdr:to>
    <xdr:graphicFrame macro="">
      <xdr:nvGraphicFramePr>
        <xdr:cNvPr id="7" name="Chart 6">
          <a:extLst>
            <a:ext uri="{FF2B5EF4-FFF2-40B4-BE49-F238E27FC236}">
              <a16:creationId xmlns:a16="http://schemas.microsoft.com/office/drawing/2014/main" id="{7DDBA6AE-7BBA-8983-F3DB-FAA51FE53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524956</xdr:colOff>
      <xdr:row>8</xdr:row>
      <xdr:rowOff>55418</xdr:rowOff>
    </xdr:from>
    <xdr:to>
      <xdr:col>23</xdr:col>
      <xdr:colOff>41563</xdr:colOff>
      <xdr:row>25</xdr:row>
      <xdr:rowOff>94166</xdr:rowOff>
    </xdr:to>
    <xdr:graphicFrame macro="">
      <xdr:nvGraphicFramePr>
        <xdr:cNvPr id="2" name="Chart 1">
          <a:extLst>
            <a:ext uri="{FF2B5EF4-FFF2-40B4-BE49-F238E27FC236}">
              <a16:creationId xmlns:a16="http://schemas.microsoft.com/office/drawing/2014/main" id="{EC4486CD-1554-46E3-844D-12C4A629E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186214</xdr:colOff>
      <xdr:row>8</xdr:row>
      <xdr:rowOff>69273</xdr:rowOff>
    </xdr:from>
    <xdr:to>
      <xdr:col>12</xdr:col>
      <xdr:colOff>429491</xdr:colOff>
      <xdr:row>16</xdr:row>
      <xdr:rowOff>1</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4D51611-61FF-B6D3-E9B0-C8DAF87E892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616376" y="1840408"/>
              <a:ext cx="5845007" cy="141353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164739</xdr:colOff>
      <xdr:row>16</xdr:row>
      <xdr:rowOff>96983</xdr:rowOff>
    </xdr:from>
    <xdr:to>
      <xdr:col>12</xdr:col>
      <xdr:colOff>443345</xdr:colOff>
      <xdr:row>28</xdr:row>
      <xdr:rowOff>55419</xdr:rowOff>
    </xdr:to>
    <xdr:graphicFrame macro="">
      <xdr:nvGraphicFramePr>
        <xdr:cNvPr id="4" name="Chart 3">
          <a:extLst>
            <a:ext uri="{FF2B5EF4-FFF2-40B4-BE49-F238E27FC236}">
              <a16:creationId xmlns:a16="http://schemas.microsoft.com/office/drawing/2014/main" id="{B2FC50C7-D7ED-495C-861E-447E38DB8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527289</xdr:colOff>
      <xdr:row>25</xdr:row>
      <xdr:rowOff>138546</xdr:rowOff>
    </xdr:from>
    <xdr:to>
      <xdr:col>23</xdr:col>
      <xdr:colOff>55419</xdr:colOff>
      <xdr:row>38</xdr:row>
      <xdr:rowOff>166256</xdr:rowOff>
    </xdr:to>
    <xdr:graphicFrame macro="">
      <xdr:nvGraphicFramePr>
        <xdr:cNvPr id="5" name="Chart 4">
          <a:extLst>
            <a:ext uri="{FF2B5EF4-FFF2-40B4-BE49-F238E27FC236}">
              <a16:creationId xmlns:a16="http://schemas.microsoft.com/office/drawing/2014/main" id="{BF6E01E8-7BD7-436E-93BF-3171F17D6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162993</xdr:colOff>
      <xdr:row>28</xdr:row>
      <xdr:rowOff>138545</xdr:rowOff>
    </xdr:from>
    <xdr:to>
      <xdr:col>12</xdr:col>
      <xdr:colOff>429491</xdr:colOff>
      <xdr:row>38</xdr:row>
      <xdr:rowOff>166254</xdr:rowOff>
    </xdr:to>
    <xdr:graphicFrame macro="">
      <xdr:nvGraphicFramePr>
        <xdr:cNvPr id="6" name="Chart 5">
          <a:extLst>
            <a:ext uri="{FF2B5EF4-FFF2-40B4-BE49-F238E27FC236}">
              <a16:creationId xmlns:a16="http://schemas.microsoft.com/office/drawing/2014/main" id="{D155BDCE-67AB-41F5-AF3D-35B5973E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54996</xdr:colOff>
      <xdr:row>8</xdr:row>
      <xdr:rowOff>69273</xdr:rowOff>
    </xdr:from>
    <xdr:to>
      <xdr:col>4</xdr:col>
      <xdr:colOff>138545</xdr:colOff>
      <xdr:row>14</xdr:row>
      <xdr:rowOff>110837</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90CBCE5C-CD97-7B94-F11B-4935E196BA5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62537" y="1840408"/>
              <a:ext cx="1906170" cy="11536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69018</xdr:colOff>
      <xdr:row>15</xdr:row>
      <xdr:rowOff>81534</xdr:rowOff>
    </xdr:from>
    <xdr:to>
      <xdr:col>4</xdr:col>
      <xdr:colOff>110836</xdr:colOff>
      <xdr:row>20</xdr:row>
      <xdr:rowOff>96982</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B75B3D0C-BE09-F70F-E289-5C0AD5DC825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676559" y="3150129"/>
              <a:ext cx="1864439" cy="9422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58972</xdr:colOff>
      <xdr:row>21</xdr:row>
      <xdr:rowOff>72270</xdr:rowOff>
    </xdr:from>
    <xdr:to>
      <xdr:col>4</xdr:col>
      <xdr:colOff>96981</xdr:colOff>
      <xdr:row>31</xdr:row>
      <xdr:rowOff>166255</xdr:rowOff>
    </xdr:to>
    <mc:AlternateContent xmlns:mc="http://schemas.openxmlformats.org/markup-compatibility/2006">
      <mc:Choice xmlns:a14="http://schemas.microsoft.com/office/drawing/2010/main" Requires="a14">
        <xdr:graphicFrame macro="">
          <xdr:nvGraphicFramePr>
            <xdr:cNvPr id="9" name="Product line">
              <a:extLst>
                <a:ext uri="{FF2B5EF4-FFF2-40B4-BE49-F238E27FC236}">
                  <a16:creationId xmlns:a16="http://schemas.microsoft.com/office/drawing/2014/main" id="{2E42455A-D3B7-A3F5-9995-8CB27D06051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666513" y="4252973"/>
              <a:ext cx="1860630" cy="19474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59841</xdr:colOff>
      <xdr:row>32</xdr:row>
      <xdr:rowOff>122907</xdr:rowOff>
    </xdr:from>
    <xdr:to>
      <xdr:col>4</xdr:col>
      <xdr:colOff>83126</xdr:colOff>
      <xdr:row>39</xdr:row>
      <xdr:rowOff>13847</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93F193BE-5CA9-753B-325E-A8298FFE386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667382" y="6342475"/>
              <a:ext cx="1845906" cy="1188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5.495497685188" createdVersion="8" refreshedVersion="8" minRefreshableVersion="3" recordCount="1000" xr:uid="{B3661C7E-9668-4F2B-A8DF-D2F5573B01A6}">
  <cacheSource type="worksheet">
    <worksheetSource ref="A1:Q1001" sheet="Data"/>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194432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x v="0"/>
    <n v="4.7619047620000003"/>
    <n v="26.141500000000001"/>
    <n v="9.1"/>
  </r>
  <r>
    <s v="226-31-3081"/>
    <s v="C"/>
    <x v="1"/>
    <x v="1"/>
    <s v="Female"/>
    <x v="1"/>
    <n v="15.28"/>
    <n v="5"/>
    <n v="3.82"/>
    <n v="80.22"/>
    <x v="1"/>
    <d v="1899-12-30T10:29:00"/>
    <x v="1"/>
    <x v="1"/>
    <n v="4.7619047620000003"/>
    <n v="3.82"/>
    <n v="9.6"/>
  </r>
  <r>
    <s v="631-41-3108"/>
    <s v="A"/>
    <x v="0"/>
    <x v="1"/>
    <s v="Male"/>
    <x v="2"/>
    <n v="46.33"/>
    <n v="7"/>
    <n v="16.215499999999999"/>
    <n v="340.52550000000002"/>
    <x v="2"/>
    <d v="1899-12-30T13:23:00"/>
    <x v="2"/>
    <x v="2"/>
    <n v="4.7619047620000003"/>
    <n v="16.215499999999999"/>
    <n v="7.4"/>
  </r>
  <r>
    <s v="123-19-1176"/>
    <s v="A"/>
    <x v="0"/>
    <x v="0"/>
    <s v="Male"/>
    <x v="0"/>
    <n v="58.22"/>
    <n v="8"/>
    <n v="23.288"/>
    <n v="489.048"/>
    <x v="3"/>
    <d v="1899-12-30T20:33:00"/>
    <x v="0"/>
    <x v="3"/>
    <n v="4.7619047620000003"/>
    <n v="23.288"/>
    <n v="8.4"/>
  </r>
  <r>
    <s v="373-73-7910"/>
    <s v="A"/>
    <x v="0"/>
    <x v="1"/>
    <s v="Male"/>
    <x v="3"/>
    <n v="86.31"/>
    <n v="7"/>
    <n v="30.208500000000001"/>
    <n v="634.37850000000003"/>
    <x v="4"/>
    <d v="1899-12-30T10:37:00"/>
    <x v="0"/>
    <x v="4"/>
    <n v="4.7619047620000003"/>
    <n v="30.208500000000001"/>
    <n v="5.3"/>
  </r>
  <r>
    <s v="699-14-3026"/>
    <s v="C"/>
    <x v="1"/>
    <x v="1"/>
    <s v="Male"/>
    <x v="1"/>
    <n v="85.39"/>
    <n v="7"/>
    <n v="29.886500000000002"/>
    <n v="627.61649999999997"/>
    <x v="5"/>
    <d v="1899-12-30T18:30:00"/>
    <x v="0"/>
    <x v="5"/>
    <n v="4.7619047620000003"/>
    <n v="29.886500000000002"/>
    <n v="4.0999999999999996"/>
  </r>
  <r>
    <s v="355-53-5943"/>
    <s v="A"/>
    <x v="0"/>
    <x v="0"/>
    <s v="Female"/>
    <x v="1"/>
    <n v="68.84"/>
    <n v="6"/>
    <n v="20.652000000000001"/>
    <n v="433.69200000000001"/>
    <x v="6"/>
    <d v="1899-12-30T14:36:00"/>
    <x v="0"/>
    <x v="6"/>
    <n v="4.7619047620000003"/>
    <n v="20.652000000000001"/>
    <n v="5.8"/>
  </r>
  <r>
    <s v="315-22-5665"/>
    <s v="C"/>
    <x v="1"/>
    <x v="1"/>
    <s v="Female"/>
    <x v="2"/>
    <n v="73.56"/>
    <n v="10"/>
    <n v="36.78"/>
    <n v="772.38"/>
    <x v="7"/>
    <d v="1899-12-30T11:38:00"/>
    <x v="0"/>
    <x v="7"/>
    <n v="4.7619047620000003"/>
    <n v="36.78"/>
    <n v="8"/>
  </r>
  <r>
    <s v="665-32-9167"/>
    <s v="A"/>
    <x v="0"/>
    <x v="0"/>
    <s v="Female"/>
    <x v="0"/>
    <n v="36.26"/>
    <n v="2"/>
    <n v="3.6259999999999999"/>
    <n v="76.146000000000001"/>
    <x v="8"/>
    <d v="1899-12-30T17:15:00"/>
    <x v="2"/>
    <x v="8"/>
    <n v="4.7619047620000003"/>
    <n v="3.6259999999999999"/>
    <n v="7.2"/>
  </r>
  <r>
    <s v="692-92-5582"/>
    <s v="B"/>
    <x v="2"/>
    <x v="0"/>
    <s v="Female"/>
    <x v="4"/>
    <n v="54.84"/>
    <n v="3"/>
    <n v="8.2260000000000009"/>
    <n v="172.74600000000001"/>
    <x v="9"/>
    <d v="1899-12-30T13:27:00"/>
    <x v="2"/>
    <x v="9"/>
    <n v="4.7619047620000003"/>
    <n v="8.2260000000000009"/>
    <n v="5.9"/>
  </r>
  <r>
    <s v="351-62-0822"/>
    <s v="B"/>
    <x v="2"/>
    <x v="0"/>
    <s v="Female"/>
    <x v="5"/>
    <n v="14.48"/>
    <n v="4"/>
    <n v="2.8959999999999999"/>
    <n v="60.816000000000003"/>
    <x v="10"/>
    <d v="1899-12-30T18:07:00"/>
    <x v="0"/>
    <x v="10"/>
    <n v="4.7619047620000003"/>
    <n v="2.8959999999999999"/>
    <n v="4.5"/>
  </r>
  <r>
    <s v="529-56-3974"/>
    <s v="B"/>
    <x v="2"/>
    <x v="0"/>
    <s v="Male"/>
    <x v="1"/>
    <n v="25.51"/>
    <n v="4"/>
    <n v="5.1020000000000003"/>
    <n v="107.142"/>
    <x v="11"/>
    <d v="1899-12-30T17:03:00"/>
    <x v="1"/>
    <x v="11"/>
    <n v="4.7619047620000003"/>
    <n v="5.1020000000000003"/>
    <n v="6.8"/>
  </r>
  <r>
    <s v="365-64-0515"/>
    <s v="A"/>
    <x v="0"/>
    <x v="1"/>
    <s v="Female"/>
    <x v="1"/>
    <n v="46.95"/>
    <n v="5"/>
    <n v="11.737500000000001"/>
    <n v="246.48750000000001"/>
    <x v="12"/>
    <d v="1899-12-30T10:25:00"/>
    <x v="0"/>
    <x v="12"/>
    <n v="4.7619047620000003"/>
    <n v="11.737500000000001"/>
    <n v="7.1"/>
  </r>
  <r>
    <s v="252-56-2699"/>
    <s v="A"/>
    <x v="0"/>
    <x v="1"/>
    <s v="Male"/>
    <x v="4"/>
    <n v="43.19"/>
    <n v="10"/>
    <n v="21.594999999999999"/>
    <n v="453.495"/>
    <x v="13"/>
    <d v="1899-12-30T16:48:00"/>
    <x v="0"/>
    <x v="13"/>
    <n v="4.7619047620000003"/>
    <n v="21.594999999999999"/>
    <n v="8.1999999999999993"/>
  </r>
  <r>
    <s v="829-34-3910"/>
    <s v="A"/>
    <x v="0"/>
    <x v="1"/>
    <s v="Female"/>
    <x v="0"/>
    <n v="71.38"/>
    <n v="10"/>
    <n v="35.69"/>
    <n v="749.49"/>
    <x v="14"/>
    <d v="1899-12-30T19:21:00"/>
    <x v="1"/>
    <x v="14"/>
    <n v="4.7619047620000003"/>
    <n v="35.69"/>
    <n v="5.7"/>
  </r>
  <r>
    <s v="299-46-1805"/>
    <s v="B"/>
    <x v="2"/>
    <x v="0"/>
    <s v="Female"/>
    <x v="3"/>
    <n v="93.72"/>
    <n v="6"/>
    <n v="28.116"/>
    <n v="590.43600000000004"/>
    <x v="15"/>
    <d v="1899-12-30T16:19:00"/>
    <x v="1"/>
    <x v="15"/>
    <n v="4.7619047620000003"/>
    <n v="28.116"/>
    <n v="4.5"/>
  </r>
  <r>
    <s v="656-95-9349"/>
    <s v="A"/>
    <x v="0"/>
    <x v="0"/>
    <s v="Female"/>
    <x v="0"/>
    <n v="68.930000000000007"/>
    <n v="7"/>
    <n v="24.125499999999999"/>
    <n v="506.63549999999998"/>
    <x v="16"/>
    <d v="1899-12-30T11:03:00"/>
    <x v="2"/>
    <x v="16"/>
    <n v="4.7619047620000003"/>
    <n v="24.125499999999999"/>
    <n v="4.5999999999999996"/>
  </r>
  <r>
    <s v="765-26-6951"/>
    <s v="A"/>
    <x v="0"/>
    <x v="1"/>
    <s v="Male"/>
    <x v="3"/>
    <n v="72.61"/>
    <n v="6"/>
    <n v="21.783000000000001"/>
    <n v="457.44299999999998"/>
    <x v="17"/>
    <d v="1899-12-30T10:39:00"/>
    <x v="2"/>
    <x v="17"/>
    <n v="4.7619047620000003"/>
    <n v="21.783000000000001"/>
    <n v="6.9"/>
  </r>
  <r>
    <s v="329-62-1586"/>
    <s v="A"/>
    <x v="0"/>
    <x v="1"/>
    <s v="Male"/>
    <x v="4"/>
    <n v="54.67"/>
    <n v="3"/>
    <n v="8.2004999999999999"/>
    <n v="172.2105"/>
    <x v="18"/>
    <d v="1899-12-30T18:00:00"/>
    <x v="2"/>
    <x v="18"/>
    <n v="4.7619047620000003"/>
    <n v="8.2004999999999999"/>
    <n v="8.6"/>
  </r>
  <r>
    <s v="319-50-3348"/>
    <s v="B"/>
    <x v="2"/>
    <x v="1"/>
    <s v="Female"/>
    <x v="2"/>
    <n v="40.299999999999997"/>
    <n v="2"/>
    <n v="4.03"/>
    <n v="84.63"/>
    <x v="16"/>
    <d v="1899-12-30T15:30:00"/>
    <x v="0"/>
    <x v="19"/>
    <n v="4.7619047620000003"/>
    <n v="4.03"/>
    <n v="4.4000000000000004"/>
  </r>
  <r>
    <s v="300-71-4605"/>
    <s v="C"/>
    <x v="1"/>
    <x v="0"/>
    <s v="Male"/>
    <x v="1"/>
    <n v="86.04"/>
    <n v="5"/>
    <n v="21.51"/>
    <n v="451.71"/>
    <x v="6"/>
    <d v="1899-12-30T11:24:00"/>
    <x v="0"/>
    <x v="20"/>
    <n v="4.7619047620000003"/>
    <n v="21.51"/>
    <n v="4.8"/>
  </r>
  <r>
    <s v="371-85-5789"/>
    <s v="B"/>
    <x v="2"/>
    <x v="1"/>
    <s v="Male"/>
    <x v="0"/>
    <n v="87.98"/>
    <n v="3"/>
    <n v="13.196999999999999"/>
    <n v="277.137"/>
    <x v="19"/>
    <d v="1899-12-30T10:40:00"/>
    <x v="0"/>
    <x v="21"/>
    <n v="4.7619047620000003"/>
    <n v="13.196999999999999"/>
    <n v="5.0999999999999996"/>
  </r>
  <r>
    <s v="273-16-6619"/>
    <s v="B"/>
    <x v="2"/>
    <x v="1"/>
    <s v="Male"/>
    <x v="2"/>
    <n v="33.200000000000003"/>
    <n v="2"/>
    <n v="3.32"/>
    <n v="69.72"/>
    <x v="20"/>
    <d v="1899-12-30T12:20:00"/>
    <x v="2"/>
    <x v="22"/>
    <n v="4.7619047620000003"/>
    <n v="3.32"/>
    <n v="4.4000000000000004"/>
  </r>
  <r>
    <s v="636-48-8204"/>
    <s v="A"/>
    <x v="0"/>
    <x v="1"/>
    <s v="Male"/>
    <x v="1"/>
    <n v="34.56"/>
    <n v="5"/>
    <n v="8.64"/>
    <n v="181.44"/>
    <x v="21"/>
    <d v="1899-12-30T11:15:00"/>
    <x v="0"/>
    <x v="23"/>
    <n v="4.7619047620000003"/>
    <n v="8.64"/>
    <n v="9.9"/>
  </r>
  <r>
    <s v="549-59-1358"/>
    <s v="A"/>
    <x v="0"/>
    <x v="0"/>
    <s v="Male"/>
    <x v="3"/>
    <n v="88.63"/>
    <n v="3"/>
    <n v="13.294499999999999"/>
    <n v="279.18450000000001"/>
    <x v="22"/>
    <d v="1899-12-30T17:36:00"/>
    <x v="0"/>
    <x v="24"/>
    <n v="4.7619047620000003"/>
    <n v="13.294499999999999"/>
    <n v="6"/>
  </r>
  <r>
    <s v="227-03-5010"/>
    <s v="A"/>
    <x v="0"/>
    <x v="0"/>
    <s v="Female"/>
    <x v="2"/>
    <n v="52.59"/>
    <n v="8"/>
    <n v="21.036000000000001"/>
    <n v="441.75599999999997"/>
    <x v="23"/>
    <d v="1899-12-30T19:20:00"/>
    <x v="2"/>
    <x v="25"/>
    <n v="4.7619047620000003"/>
    <n v="21.036000000000001"/>
    <n v="8.5"/>
  </r>
  <r>
    <s v="649-29-6775"/>
    <s v="B"/>
    <x v="2"/>
    <x v="1"/>
    <s v="Male"/>
    <x v="5"/>
    <n v="33.520000000000003"/>
    <n v="1"/>
    <n v="1.6759999999999999"/>
    <n v="35.195999999999998"/>
    <x v="4"/>
    <d v="1899-12-30T15:31:00"/>
    <x v="1"/>
    <x v="26"/>
    <n v="4.7619047620000003"/>
    <n v="1.6759999999999999"/>
    <n v="6.7"/>
  </r>
  <r>
    <s v="189-17-4241"/>
    <s v="A"/>
    <x v="0"/>
    <x v="1"/>
    <s v="Female"/>
    <x v="5"/>
    <n v="87.67"/>
    <n v="2"/>
    <n v="8.7669999999999995"/>
    <n v="184.107"/>
    <x v="24"/>
    <d v="1899-12-30T12:17:00"/>
    <x v="2"/>
    <x v="27"/>
    <n v="4.7619047620000003"/>
    <n v="8.7669999999999995"/>
    <n v="7.7"/>
  </r>
  <r>
    <s v="145-94-9061"/>
    <s v="B"/>
    <x v="2"/>
    <x v="1"/>
    <s v="Female"/>
    <x v="4"/>
    <n v="88.36"/>
    <n v="5"/>
    <n v="22.09"/>
    <n v="463.89"/>
    <x v="25"/>
    <d v="1899-12-30T19:48:00"/>
    <x v="1"/>
    <x v="28"/>
    <n v="4.7619047620000003"/>
    <n v="22.09"/>
    <n v="9.6"/>
  </r>
  <r>
    <s v="848-62-7243"/>
    <s v="A"/>
    <x v="0"/>
    <x v="1"/>
    <s v="Male"/>
    <x v="0"/>
    <n v="24.89"/>
    <n v="9"/>
    <n v="11.2005"/>
    <n v="235.2105"/>
    <x v="20"/>
    <d v="1899-12-30T15:36:00"/>
    <x v="1"/>
    <x v="29"/>
    <n v="4.7619047620000003"/>
    <n v="11.2005"/>
    <n v="7.4"/>
  </r>
  <r>
    <s v="871-79-8483"/>
    <s v="B"/>
    <x v="2"/>
    <x v="1"/>
    <s v="Male"/>
    <x v="5"/>
    <n v="94.13"/>
    <n v="5"/>
    <n v="23.532499999999999"/>
    <n v="494.1825"/>
    <x v="6"/>
    <d v="1899-12-30T19:39:00"/>
    <x v="2"/>
    <x v="30"/>
    <n v="4.7619047620000003"/>
    <n v="23.532499999999999"/>
    <n v="4.8"/>
  </r>
  <r>
    <s v="149-71-6266"/>
    <s v="B"/>
    <x v="2"/>
    <x v="0"/>
    <s v="Male"/>
    <x v="3"/>
    <n v="78.069999999999993"/>
    <n v="9"/>
    <n v="35.131500000000003"/>
    <n v="737.76149999999996"/>
    <x v="26"/>
    <d v="1899-12-30T12:43:00"/>
    <x v="1"/>
    <x v="31"/>
    <n v="4.7619047620000003"/>
    <n v="35.131500000000003"/>
    <n v="4.5"/>
  </r>
  <r>
    <s v="640-49-2076"/>
    <s v="B"/>
    <x v="2"/>
    <x v="1"/>
    <s v="Male"/>
    <x v="3"/>
    <n v="83.78"/>
    <n v="8"/>
    <n v="33.512"/>
    <n v="703.75199999999995"/>
    <x v="8"/>
    <d v="1899-12-30T14:49:00"/>
    <x v="1"/>
    <x v="32"/>
    <n v="4.7619047620000003"/>
    <n v="33.512"/>
    <n v="5.0999999999999996"/>
  </r>
  <r>
    <s v="595-11-5460"/>
    <s v="A"/>
    <x v="0"/>
    <x v="1"/>
    <s v="Male"/>
    <x v="0"/>
    <n v="96.58"/>
    <n v="2"/>
    <n v="9.6579999999999995"/>
    <n v="202.81800000000001"/>
    <x v="20"/>
    <d v="1899-12-30T10:12:00"/>
    <x v="2"/>
    <x v="33"/>
    <n v="4.7619047620000003"/>
    <n v="9.6579999999999995"/>
    <n v="5.0999999999999996"/>
  </r>
  <r>
    <s v="183-56-6882"/>
    <s v="C"/>
    <x v="1"/>
    <x v="0"/>
    <s v="Female"/>
    <x v="4"/>
    <n v="99.42"/>
    <n v="4"/>
    <n v="19.884"/>
    <n v="417.56400000000002"/>
    <x v="10"/>
    <d v="1899-12-30T10:42:00"/>
    <x v="0"/>
    <x v="34"/>
    <n v="4.7619047620000003"/>
    <n v="19.884"/>
    <n v="7.5"/>
  </r>
  <r>
    <s v="232-16-2483"/>
    <s v="C"/>
    <x v="1"/>
    <x v="0"/>
    <s v="Female"/>
    <x v="3"/>
    <n v="68.12"/>
    <n v="1"/>
    <n v="3.4060000000000001"/>
    <n v="71.525999999999996"/>
    <x v="27"/>
    <d v="1899-12-30T12:28:00"/>
    <x v="0"/>
    <x v="35"/>
    <n v="4.7619047620000003"/>
    <n v="3.4060000000000001"/>
    <n v="6.8"/>
  </r>
  <r>
    <s v="129-29-8530"/>
    <s v="A"/>
    <x v="0"/>
    <x v="0"/>
    <s v="Male"/>
    <x v="3"/>
    <n v="62.62"/>
    <n v="5"/>
    <n v="15.654999999999999"/>
    <n v="328.755"/>
    <x v="24"/>
    <d v="1899-12-30T19:15:00"/>
    <x v="0"/>
    <x v="36"/>
    <n v="4.7619047620000003"/>
    <n v="15.654999999999999"/>
    <n v="7"/>
  </r>
  <r>
    <s v="272-65-1806"/>
    <s v="A"/>
    <x v="0"/>
    <x v="1"/>
    <s v="Female"/>
    <x v="1"/>
    <n v="60.88"/>
    <n v="9"/>
    <n v="27.396000000000001"/>
    <n v="575.31600000000003"/>
    <x v="15"/>
    <d v="1899-12-30T17:17:00"/>
    <x v="0"/>
    <x v="37"/>
    <n v="4.7619047620000003"/>
    <n v="27.396000000000001"/>
    <n v="4.7"/>
  </r>
  <r>
    <s v="333-73-7901"/>
    <s v="C"/>
    <x v="1"/>
    <x v="1"/>
    <s v="Female"/>
    <x v="0"/>
    <n v="54.92"/>
    <n v="8"/>
    <n v="21.968"/>
    <n v="461.32799999999997"/>
    <x v="28"/>
    <d v="1899-12-30T13:24:00"/>
    <x v="0"/>
    <x v="38"/>
    <n v="4.7619047620000003"/>
    <n v="21.968"/>
    <n v="7.6"/>
  </r>
  <r>
    <s v="777-82-7220"/>
    <s v="B"/>
    <x v="2"/>
    <x v="0"/>
    <s v="Male"/>
    <x v="2"/>
    <n v="30.12"/>
    <n v="8"/>
    <n v="12.048"/>
    <n v="253.00800000000001"/>
    <x v="2"/>
    <d v="1899-12-30T13:01:00"/>
    <x v="1"/>
    <x v="39"/>
    <n v="4.7619047620000003"/>
    <n v="12.048"/>
    <n v="7.7"/>
  </r>
  <r>
    <s v="280-35-5823"/>
    <s v="B"/>
    <x v="2"/>
    <x v="0"/>
    <s v="Female"/>
    <x v="2"/>
    <n v="86.72"/>
    <n v="1"/>
    <n v="4.3360000000000003"/>
    <n v="91.055999999999997"/>
    <x v="29"/>
    <d v="1899-12-30T18:45:00"/>
    <x v="0"/>
    <x v="40"/>
    <n v="4.7619047620000003"/>
    <n v="4.3360000000000003"/>
    <n v="7.9"/>
  </r>
  <r>
    <s v="554-53-8700"/>
    <s v="C"/>
    <x v="1"/>
    <x v="0"/>
    <s v="Male"/>
    <x v="2"/>
    <n v="56.11"/>
    <n v="2"/>
    <n v="5.6109999999999998"/>
    <n v="117.831"/>
    <x v="30"/>
    <d v="1899-12-30T10:11:00"/>
    <x v="1"/>
    <x v="41"/>
    <n v="4.7619047620000003"/>
    <n v="5.6109999999999998"/>
    <n v="6.3"/>
  </r>
  <r>
    <s v="354-25-5821"/>
    <s v="B"/>
    <x v="2"/>
    <x v="0"/>
    <s v="Female"/>
    <x v="3"/>
    <n v="69.12"/>
    <n v="6"/>
    <n v="20.736000000000001"/>
    <n v="435.45600000000002"/>
    <x v="4"/>
    <d v="1899-12-30T13:03:00"/>
    <x v="1"/>
    <x v="42"/>
    <n v="4.7619047620000003"/>
    <n v="20.736000000000001"/>
    <n v="5.6"/>
  </r>
  <r>
    <s v="228-96-1411"/>
    <s v="C"/>
    <x v="1"/>
    <x v="0"/>
    <s v="Female"/>
    <x v="4"/>
    <n v="98.7"/>
    <n v="8"/>
    <n v="39.479999999999997"/>
    <n v="829.08"/>
    <x v="31"/>
    <d v="1899-12-30T20:39:00"/>
    <x v="1"/>
    <x v="43"/>
    <n v="4.7619047620000003"/>
    <n v="39.479999999999997"/>
    <n v="7.6"/>
  </r>
  <r>
    <s v="617-15-4209"/>
    <s v="C"/>
    <x v="1"/>
    <x v="0"/>
    <s v="Male"/>
    <x v="0"/>
    <n v="15.37"/>
    <n v="2"/>
    <n v="1.5369999999999999"/>
    <n v="32.277000000000001"/>
    <x v="32"/>
    <d v="1899-12-30T19:47:00"/>
    <x v="1"/>
    <x v="44"/>
    <n v="4.7619047620000003"/>
    <n v="1.5369999999999999"/>
    <n v="7.2"/>
  </r>
  <r>
    <s v="132-32-9879"/>
    <s v="B"/>
    <x v="2"/>
    <x v="0"/>
    <s v="Female"/>
    <x v="1"/>
    <n v="93.96"/>
    <n v="4"/>
    <n v="18.792000000000002"/>
    <n v="394.63200000000001"/>
    <x v="11"/>
    <d v="1899-12-30T18:00:00"/>
    <x v="1"/>
    <x v="45"/>
    <n v="4.7619047620000003"/>
    <n v="18.792000000000002"/>
    <n v="9.5"/>
  </r>
  <r>
    <s v="370-41-7321"/>
    <s v="B"/>
    <x v="2"/>
    <x v="0"/>
    <s v="Male"/>
    <x v="0"/>
    <n v="56.69"/>
    <n v="9"/>
    <n v="25.5105"/>
    <n v="535.72050000000002"/>
    <x v="33"/>
    <d v="1899-12-30T17:24:00"/>
    <x v="2"/>
    <x v="46"/>
    <n v="4.7619047620000003"/>
    <n v="25.5105"/>
    <n v="8.4"/>
  </r>
  <r>
    <s v="727-46-3608"/>
    <s v="B"/>
    <x v="2"/>
    <x v="0"/>
    <s v="Female"/>
    <x v="4"/>
    <n v="20.010000000000002"/>
    <n v="9"/>
    <n v="9.0045000000000002"/>
    <n v="189.09450000000001"/>
    <x v="10"/>
    <d v="1899-12-30T15:47:00"/>
    <x v="0"/>
    <x v="47"/>
    <n v="4.7619047620000003"/>
    <n v="9.0045000000000002"/>
    <n v="4.0999999999999996"/>
  </r>
  <r>
    <s v="669-54-1719"/>
    <s v="B"/>
    <x v="2"/>
    <x v="0"/>
    <s v="Male"/>
    <x v="1"/>
    <n v="18.93"/>
    <n v="6"/>
    <n v="5.6790000000000003"/>
    <n v="119.259"/>
    <x v="34"/>
    <d v="1899-12-30T12:45:00"/>
    <x v="2"/>
    <x v="48"/>
    <n v="4.7619047620000003"/>
    <n v="5.6790000000000003"/>
    <n v="8.1"/>
  </r>
  <r>
    <s v="574-22-5561"/>
    <s v="C"/>
    <x v="1"/>
    <x v="0"/>
    <s v="Female"/>
    <x v="5"/>
    <n v="82.63"/>
    <n v="10"/>
    <n v="41.314999999999998"/>
    <n v="867.61500000000001"/>
    <x v="35"/>
    <d v="1899-12-30T17:08:00"/>
    <x v="0"/>
    <x v="49"/>
    <n v="4.7619047620000003"/>
    <n v="41.314999999999998"/>
    <n v="7.9"/>
  </r>
  <r>
    <s v="326-78-5178"/>
    <s v="C"/>
    <x v="1"/>
    <x v="0"/>
    <s v="Male"/>
    <x v="4"/>
    <n v="91.4"/>
    <n v="7"/>
    <n v="31.99"/>
    <n v="671.79"/>
    <x v="36"/>
    <d v="1899-12-30T10:19:00"/>
    <x v="1"/>
    <x v="50"/>
    <n v="4.7619047620000003"/>
    <n v="31.99"/>
    <n v="9.5"/>
  </r>
  <r>
    <s v="162-48-8011"/>
    <s v="A"/>
    <x v="0"/>
    <x v="0"/>
    <s v="Female"/>
    <x v="4"/>
    <n v="44.59"/>
    <n v="5"/>
    <n v="11.147500000000001"/>
    <n v="234.0975"/>
    <x v="34"/>
    <d v="1899-12-30T15:10:00"/>
    <x v="1"/>
    <x v="51"/>
    <n v="4.7619047620000003"/>
    <n v="11.147500000000001"/>
    <n v="8.5"/>
  </r>
  <r>
    <s v="616-24-2851"/>
    <s v="B"/>
    <x v="2"/>
    <x v="0"/>
    <s v="Female"/>
    <x v="5"/>
    <n v="17.87"/>
    <n v="4"/>
    <n v="3.5739999999999998"/>
    <n v="75.054000000000002"/>
    <x v="23"/>
    <d v="1899-12-30T14:42:00"/>
    <x v="0"/>
    <x v="52"/>
    <n v="4.7619047620000003"/>
    <n v="3.5739999999999998"/>
    <n v="6.5"/>
  </r>
  <r>
    <s v="778-71-5554"/>
    <s v="C"/>
    <x v="1"/>
    <x v="0"/>
    <s v="Male"/>
    <x v="5"/>
    <n v="15.43"/>
    <n v="1"/>
    <n v="0.77149999999999996"/>
    <n v="16.201499999999999"/>
    <x v="25"/>
    <d v="1899-12-30T15:46:00"/>
    <x v="2"/>
    <x v="53"/>
    <n v="4.7619047620000003"/>
    <n v="0.77149999999999996"/>
    <n v="6.1"/>
  </r>
  <r>
    <s v="242-55-6721"/>
    <s v="B"/>
    <x v="2"/>
    <x v="1"/>
    <s v="Male"/>
    <x v="2"/>
    <n v="16.16"/>
    <n v="2"/>
    <n v="1.6160000000000001"/>
    <n v="33.936"/>
    <x v="37"/>
    <d v="1899-12-30T11:49:00"/>
    <x v="0"/>
    <x v="54"/>
    <n v="4.7619047620000003"/>
    <n v="1.6160000000000001"/>
    <n v="6.5"/>
  </r>
  <r>
    <s v="399-46-5918"/>
    <s v="C"/>
    <x v="1"/>
    <x v="1"/>
    <s v="Female"/>
    <x v="1"/>
    <n v="85.98"/>
    <n v="8"/>
    <n v="34.392000000000003"/>
    <n v="722.23199999999997"/>
    <x v="38"/>
    <d v="1899-12-30T19:01:00"/>
    <x v="1"/>
    <x v="55"/>
    <n v="4.7619047620000003"/>
    <n v="34.392000000000003"/>
    <n v="8.1999999999999993"/>
  </r>
  <r>
    <s v="106-35-6779"/>
    <s v="A"/>
    <x v="0"/>
    <x v="0"/>
    <s v="Male"/>
    <x v="2"/>
    <n v="44.34"/>
    <n v="2"/>
    <n v="4.4340000000000002"/>
    <n v="93.114000000000004"/>
    <x v="39"/>
    <d v="1899-12-30T11:26:00"/>
    <x v="1"/>
    <x v="56"/>
    <n v="4.7619047620000003"/>
    <n v="4.4340000000000002"/>
    <n v="5.8"/>
  </r>
  <r>
    <s v="635-40-6220"/>
    <s v="A"/>
    <x v="0"/>
    <x v="1"/>
    <s v="Male"/>
    <x v="0"/>
    <n v="89.6"/>
    <n v="8"/>
    <n v="35.840000000000003"/>
    <n v="752.64"/>
    <x v="13"/>
    <d v="1899-12-30T11:28:00"/>
    <x v="0"/>
    <x v="57"/>
    <n v="4.7619047620000003"/>
    <n v="35.840000000000003"/>
    <n v="6.6"/>
  </r>
  <r>
    <s v="817-48-8732"/>
    <s v="A"/>
    <x v="0"/>
    <x v="0"/>
    <s v="Female"/>
    <x v="2"/>
    <n v="72.349999999999994"/>
    <n v="10"/>
    <n v="36.174999999999997"/>
    <n v="759.67499999999995"/>
    <x v="40"/>
    <d v="1899-12-30T15:55:00"/>
    <x v="1"/>
    <x v="58"/>
    <n v="4.7619047620000003"/>
    <n v="36.174999999999997"/>
    <n v="5.4"/>
  </r>
  <r>
    <s v="120-06-4233"/>
    <s v="C"/>
    <x v="1"/>
    <x v="1"/>
    <s v="Male"/>
    <x v="1"/>
    <n v="30.61"/>
    <n v="6"/>
    <n v="9.1829999999999998"/>
    <n v="192.84299999999999"/>
    <x v="41"/>
    <d v="1899-12-30T20:36:00"/>
    <x v="1"/>
    <x v="59"/>
    <n v="4.7619047620000003"/>
    <n v="9.1829999999999998"/>
    <n v="9.3000000000000007"/>
  </r>
  <r>
    <s v="285-68-5083"/>
    <s v="C"/>
    <x v="1"/>
    <x v="0"/>
    <s v="Female"/>
    <x v="3"/>
    <n v="24.74"/>
    <n v="3"/>
    <n v="3.7109999999999999"/>
    <n v="77.930999999999997"/>
    <x v="42"/>
    <d v="1899-12-30T17:47:00"/>
    <x v="2"/>
    <x v="60"/>
    <n v="4.7619047620000003"/>
    <n v="3.7109999999999999"/>
    <n v="10"/>
  </r>
  <r>
    <s v="803-83-5989"/>
    <s v="C"/>
    <x v="1"/>
    <x v="1"/>
    <s v="Male"/>
    <x v="2"/>
    <n v="55.73"/>
    <n v="6"/>
    <n v="16.719000000000001"/>
    <n v="351.09899999999999"/>
    <x v="7"/>
    <d v="1899-12-30T10:55:00"/>
    <x v="0"/>
    <x v="61"/>
    <n v="4.7619047620000003"/>
    <n v="16.719000000000001"/>
    <n v="7"/>
  </r>
  <r>
    <s v="347-34-2234"/>
    <s v="B"/>
    <x v="2"/>
    <x v="0"/>
    <s v="Female"/>
    <x v="3"/>
    <n v="55.07"/>
    <n v="9"/>
    <n v="24.781500000000001"/>
    <n v="520.41150000000005"/>
    <x v="36"/>
    <d v="1899-12-30T13:40:00"/>
    <x v="0"/>
    <x v="62"/>
    <n v="4.7619047620000003"/>
    <n v="24.781500000000001"/>
    <n v="10"/>
  </r>
  <r>
    <s v="199-75-8169"/>
    <s v="A"/>
    <x v="0"/>
    <x v="0"/>
    <s v="Male"/>
    <x v="3"/>
    <n v="15.81"/>
    <n v="10"/>
    <n v="7.9050000000000002"/>
    <n v="166.005"/>
    <x v="43"/>
    <d v="1899-12-30T12:27:00"/>
    <x v="2"/>
    <x v="63"/>
    <n v="4.7619047620000003"/>
    <n v="7.9050000000000002"/>
    <n v="8.6"/>
  </r>
  <r>
    <s v="853-23-2453"/>
    <s v="B"/>
    <x v="2"/>
    <x v="0"/>
    <s v="Male"/>
    <x v="0"/>
    <n v="75.739999999999995"/>
    <n v="4"/>
    <n v="15.148"/>
    <n v="318.108"/>
    <x v="44"/>
    <d v="1899-12-30T14:35:00"/>
    <x v="1"/>
    <x v="64"/>
    <n v="4.7619047620000003"/>
    <n v="15.148"/>
    <n v="7.6"/>
  </r>
  <r>
    <s v="877-22-3308"/>
    <s v="A"/>
    <x v="0"/>
    <x v="0"/>
    <s v="Male"/>
    <x v="0"/>
    <n v="15.87"/>
    <n v="10"/>
    <n v="7.9349999999999996"/>
    <n v="166.63499999999999"/>
    <x v="45"/>
    <d v="1899-12-30T16:40:00"/>
    <x v="1"/>
    <x v="65"/>
    <n v="4.7619047620000003"/>
    <n v="7.9349999999999996"/>
    <n v="5.8"/>
  </r>
  <r>
    <s v="838-78-4295"/>
    <s v="C"/>
    <x v="1"/>
    <x v="1"/>
    <s v="Female"/>
    <x v="0"/>
    <n v="33.47"/>
    <n v="2"/>
    <n v="3.347"/>
    <n v="70.287000000000006"/>
    <x v="34"/>
    <d v="1899-12-30T15:43:00"/>
    <x v="0"/>
    <x v="66"/>
    <n v="4.7619047620000003"/>
    <n v="3.347"/>
    <n v="6.7"/>
  </r>
  <r>
    <s v="109-28-2512"/>
    <s v="B"/>
    <x v="2"/>
    <x v="0"/>
    <s v="Female"/>
    <x v="5"/>
    <n v="97.61"/>
    <n v="6"/>
    <n v="29.283000000000001"/>
    <n v="614.94299999999998"/>
    <x v="27"/>
    <d v="1899-12-30T15:01:00"/>
    <x v="0"/>
    <x v="67"/>
    <n v="4.7619047620000003"/>
    <n v="29.283000000000001"/>
    <n v="9.9"/>
  </r>
  <r>
    <s v="232-11-3025"/>
    <s v="A"/>
    <x v="0"/>
    <x v="1"/>
    <s v="Male"/>
    <x v="3"/>
    <n v="78.77"/>
    <n v="10"/>
    <n v="39.384999999999998"/>
    <n v="827.08500000000004"/>
    <x v="46"/>
    <d v="1899-12-30T10:04:00"/>
    <x v="1"/>
    <x v="68"/>
    <n v="4.7619047620000003"/>
    <n v="39.384999999999998"/>
    <n v="6.4"/>
  </r>
  <r>
    <s v="382-03-4532"/>
    <s v="A"/>
    <x v="0"/>
    <x v="0"/>
    <s v="Female"/>
    <x v="0"/>
    <n v="18.329999999999998"/>
    <n v="1"/>
    <n v="0.91649999999999998"/>
    <n v="19.246500000000001"/>
    <x v="30"/>
    <d v="1899-12-30T18:50:00"/>
    <x v="1"/>
    <x v="69"/>
    <n v="4.7619047620000003"/>
    <n v="0.91649999999999998"/>
    <n v="4.3"/>
  </r>
  <r>
    <s v="393-65-2792"/>
    <s v="C"/>
    <x v="1"/>
    <x v="1"/>
    <s v="Male"/>
    <x v="4"/>
    <n v="89.48"/>
    <n v="10"/>
    <n v="44.74"/>
    <n v="939.54"/>
    <x v="47"/>
    <d v="1899-12-30T12:46:00"/>
    <x v="2"/>
    <x v="70"/>
    <n v="4.7619047620000003"/>
    <n v="44.74"/>
    <n v="9.6"/>
  </r>
  <r>
    <s v="796-12-2025"/>
    <s v="C"/>
    <x v="1"/>
    <x v="1"/>
    <s v="Male"/>
    <x v="5"/>
    <n v="62.12"/>
    <n v="10"/>
    <n v="31.06"/>
    <n v="652.26"/>
    <x v="48"/>
    <d v="1899-12-30T16:19:00"/>
    <x v="1"/>
    <x v="71"/>
    <n v="4.7619047620000003"/>
    <n v="31.06"/>
    <n v="5.9"/>
  </r>
  <r>
    <s v="510-95-6347"/>
    <s v="B"/>
    <x v="2"/>
    <x v="0"/>
    <s v="Female"/>
    <x v="4"/>
    <n v="48.52"/>
    <n v="3"/>
    <n v="7.2779999999999996"/>
    <n v="152.83799999999999"/>
    <x v="19"/>
    <d v="1899-12-30T18:17:00"/>
    <x v="0"/>
    <x v="72"/>
    <n v="4.7619047620000003"/>
    <n v="7.2779999999999996"/>
    <n v="4"/>
  </r>
  <r>
    <s v="841-35-6630"/>
    <s v="C"/>
    <x v="1"/>
    <x v="1"/>
    <s v="Female"/>
    <x v="1"/>
    <n v="75.91"/>
    <n v="6"/>
    <n v="22.773"/>
    <n v="478.233"/>
    <x v="11"/>
    <d v="1899-12-30T18:21:00"/>
    <x v="1"/>
    <x v="73"/>
    <n v="4.7619047620000003"/>
    <n v="22.773"/>
    <n v="8.6999999999999993"/>
  </r>
  <r>
    <s v="287-21-9091"/>
    <s v="A"/>
    <x v="0"/>
    <x v="1"/>
    <s v="Male"/>
    <x v="2"/>
    <n v="74.67"/>
    <n v="9"/>
    <n v="33.601500000000001"/>
    <n v="705.63149999999996"/>
    <x v="49"/>
    <d v="1899-12-30T10:55:00"/>
    <x v="0"/>
    <x v="74"/>
    <n v="4.7619047620000003"/>
    <n v="33.601500000000001"/>
    <n v="9.4"/>
  </r>
  <r>
    <s v="732-94-0499"/>
    <s v="C"/>
    <x v="1"/>
    <x v="1"/>
    <s v="Female"/>
    <x v="1"/>
    <n v="41.65"/>
    <n v="10"/>
    <n v="20.824999999999999"/>
    <n v="437.32499999999999"/>
    <x v="50"/>
    <d v="1899-12-30T17:04:00"/>
    <x v="2"/>
    <x v="75"/>
    <n v="4.7619047620000003"/>
    <n v="20.824999999999999"/>
    <n v="5.4"/>
  </r>
  <r>
    <s v="263-10-3913"/>
    <s v="C"/>
    <x v="1"/>
    <x v="0"/>
    <s v="Male"/>
    <x v="5"/>
    <n v="49.04"/>
    <n v="9"/>
    <n v="22.068000000000001"/>
    <n v="463.428"/>
    <x v="51"/>
    <d v="1899-12-30T14:20:00"/>
    <x v="2"/>
    <x v="76"/>
    <n v="4.7619047620000003"/>
    <n v="22.068000000000001"/>
    <n v="8.6"/>
  </r>
  <r>
    <s v="381-20-0914"/>
    <s v="A"/>
    <x v="0"/>
    <x v="0"/>
    <s v="Female"/>
    <x v="5"/>
    <n v="20.010000000000002"/>
    <n v="9"/>
    <n v="9.0045000000000002"/>
    <n v="189.09450000000001"/>
    <x v="52"/>
    <d v="1899-12-30T15:48:00"/>
    <x v="2"/>
    <x v="47"/>
    <n v="4.7619047620000003"/>
    <n v="9.0045000000000002"/>
    <n v="5.7"/>
  </r>
  <r>
    <s v="829-49-1914"/>
    <s v="C"/>
    <x v="1"/>
    <x v="0"/>
    <s v="Female"/>
    <x v="4"/>
    <n v="78.31"/>
    <n v="10"/>
    <n v="39.155000000000001"/>
    <n v="822.255"/>
    <x v="19"/>
    <d v="1899-12-30T16:24:00"/>
    <x v="0"/>
    <x v="77"/>
    <n v="4.7619047620000003"/>
    <n v="39.155000000000001"/>
    <n v="6.6"/>
  </r>
  <r>
    <s v="756-01-7507"/>
    <s v="C"/>
    <x v="1"/>
    <x v="1"/>
    <s v="Female"/>
    <x v="0"/>
    <n v="20.38"/>
    <n v="5"/>
    <n v="5.0949999999999998"/>
    <n v="106.995"/>
    <x v="49"/>
    <d v="1899-12-30T18:56:00"/>
    <x v="1"/>
    <x v="78"/>
    <n v="4.7619047620000003"/>
    <n v="5.0949999999999998"/>
    <n v="6"/>
  </r>
  <r>
    <s v="870-72-4431"/>
    <s v="C"/>
    <x v="1"/>
    <x v="1"/>
    <s v="Female"/>
    <x v="0"/>
    <n v="99.19"/>
    <n v="6"/>
    <n v="29.757000000000001"/>
    <n v="624.89700000000005"/>
    <x v="18"/>
    <d v="1899-12-30T14:42:00"/>
    <x v="2"/>
    <x v="79"/>
    <n v="4.7619047620000003"/>
    <n v="29.757000000000001"/>
    <n v="5.5"/>
  </r>
  <r>
    <s v="847-38-7188"/>
    <s v="B"/>
    <x v="2"/>
    <x v="1"/>
    <s v="Female"/>
    <x v="4"/>
    <n v="96.68"/>
    <n v="3"/>
    <n v="14.502000000000001"/>
    <n v="304.54199999999997"/>
    <x v="53"/>
    <d v="1899-12-30T19:56:00"/>
    <x v="0"/>
    <x v="80"/>
    <n v="4.7619047620000003"/>
    <n v="14.502000000000001"/>
    <n v="6.4"/>
  </r>
  <r>
    <s v="480-63-2856"/>
    <s v="C"/>
    <x v="1"/>
    <x v="1"/>
    <s v="Male"/>
    <x v="4"/>
    <n v="19.25"/>
    <n v="8"/>
    <n v="7.7"/>
    <n v="161.69999999999999"/>
    <x v="54"/>
    <d v="1899-12-30T18:37:00"/>
    <x v="0"/>
    <x v="81"/>
    <n v="4.7619047620000003"/>
    <n v="7.7"/>
    <n v="6.6"/>
  </r>
  <r>
    <s v="787-56-0757"/>
    <s v="C"/>
    <x v="1"/>
    <x v="0"/>
    <s v="Female"/>
    <x v="4"/>
    <n v="80.36"/>
    <n v="4"/>
    <n v="16.071999999999999"/>
    <n v="337.512"/>
    <x v="55"/>
    <d v="1899-12-30T18:45:00"/>
    <x v="2"/>
    <x v="82"/>
    <n v="4.7619047620000003"/>
    <n v="16.071999999999999"/>
    <n v="8.3000000000000007"/>
  </r>
  <r>
    <s v="360-39-5055"/>
    <s v="C"/>
    <x v="1"/>
    <x v="0"/>
    <s v="Male"/>
    <x v="3"/>
    <n v="48.91"/>
    <n v="5"/>
    <n v="12.227499999999999"/>
    <n v="256.77749999999997"/>
    <x v="11"/>
    <d v="1899-12-30T10:17:00"/>
    <x v="1"/>
    <x v="83"/>
    <n v="4.7619047620000003"/>
    <n v="12.227499999999999"/>
    <n v="6.6"/>
  </r>
  <r>
    <s v="730-50-9884"/>
    <s v="C"/>
    <x v="1"/>
    <x v="1"/>
    <s v="Female"/>
    <x v="3"/>
    <n v="83.06"/>
    <n v="7"/>
    <n v="29.071000000000002"/>
    <n v="610.49099999999999"/>
    <x v="19"/>
    <d v="1899-12-30T14:31:00"/>
    <x v="0"/>
    <x v="84"/>
    <n v="4.7619047620000003"/>
    <n v="29.071000000000002"/>
    <n v="4"/>
  </r>
  <r>
    <s v="362-58-8315"/>
    <s v="C"/>
    <x v="1"/>
    <x v="1"/>
    <s v="Male"/>
    <x v="5"/>
    <n v="76.52"/>
    <n v="5"/>
    <n v="19.13"/>
    <n v="401.73"/>
    <x v="5"/>
    <d v="1899-12-30T10:23:00"/>
    <x v="1"/>
    <x v="85"/>
    <n v="4.7619047620000003"/>
    <n v="19.13"/>
    <n v="9.9"/>
  </r>
  <r>
    <s v="633-44-8566"/>
    <s v="A"/>
    <x v="0"/>
    <x v="0"/>
    <s v="Male"/>
    <x v="4"/>
    <n v="49.38"/>
    <n v="7"/>
    <n v="17.283000000000001"/>
    <n v="362.94299999999998"/>
    <x v="39"/>
    <d v="1899-12-30T20:35:00"/>
    <x v="2"/>
    <x v="86"/>
    <n v="4.7619047620000003"/>
    <n v="17.283000000000001"/>
    <n v="7.3"/>
  </r>
  <r>
    <s v="504-35-8843"/>
    <s v="A"/>
    <x v="0"/>
    <x v="1"/>
    <s v="Male"/>
    <x v="3"/>
    <n v="42.47"/>
    <n v="1"/>
    <n v="2.1234999999999999"/>
    <n v="44.593499999999999"/>
    <x v="56"/>
    <d v="1899-12-30T16:57:00"/>
    <x v="1"/>
    <x v="87"/>
    <n v="4.7619047620000003"/>
    <n v="2.1234999999999999"/>
    <n v="5.7"/>
  </r>
  <r>
    <s v="318-68-5053"/>
    <s v="B"/>
    <x v="2"/>
    <x v="1"/>
    <s v="Female"/>
    <x v="0"/>
    <n v="76.989999999999995"/>
    <n v="6"/>
    <n v="23.097000000000001"/>
    <n v="485.03699999999998"/>
    <x v="33"/>
    <d v="1899-12-30T17:55:00"/>
    <x v="1"/>
    <x v="88"/>
    <n v="4.7619047620000003"/>
    <n v="23.097000000000001"/>
    <n v="6.1"/>
  </r>
  <r>
    <s v="565-80-5980"/>
    <s v="C"/>
    <x v="1"/>
    <x v="0"/>
    <s v="Female"/>
    <x v="2"/>
    <n v="47.38"/>
    <n v="4"/>
    <n v="9.4760000000000009"/>
    <n v="198.99600000000001"/>
    <x v="54"/>
    <d v="1899-12-30T10:25:00"/>
    <x v="1"/>
    <x v="89"/>
    <n v="4.7619047620000003"/>
    <n v="9.4760000000000009"/>
    <n v="7.1"/>
  </r>
  <r>
    <s v="225-32-0908"/>
    <s v="C"/>
    <x v="1"/>
    <x v="1"/>
    <s v="Female"/>
    <x v="3"/>
    <n v="44.86"/>
    <n v="10"/>
    <n v="22.43"/>
    <n v="471.03"/>
    <x v="53"/>
    <d v="1899-12-30T19:54:00"/>
    <x v="0"/>
    <x v="90"/>
    <n v="4.7619047620000003"/>
    <n v="22.43"/>
    <n v="8.1999999999999993"/>
  </r>
  <r>
    <s v="873-51-0671"/>
    <s v="A"/>
    <x v="0"/>
    <x v="0"/>
    <s v="Female"/>
    <x v="3"/>
    <n v="21.98"/>
    <n v="7"/>
    <n v="7.6929999999999996"/>
    <n v="161.553"/>
    <x v="8"/>
    <d v="1899-12-30T16:42:00"/>
    <x v="0"/>
    <x v="91"/>
    <n v="4.7619047620000003"/>
    <n v="7.6929999999999996"/>
    <n v="5.0999999999999996"/>
  </r>
  <r>
    <s v="152-08-9985"/>
    <s v="B"/>
    <x v="2"/>
    <x v="0"/>
    <s v="Male"/>
    <x v="0"/>
    <n v="64.36"/>
    <n v="9"/>
    <n v="28.962"/>
    <n v="608.202"/>
    <x v="41"/>
    <d v="1899-12-30T12:09:00"/>
    <x v="2"/>
    <x v="92"/>
    <n v="4.7619047620000003"/>
    <n v="28.962"/>
    <n v="8.6"/>
  </r>
  <r>
    <s v="512-91-0811"/>
    <s v="C"/>
    <x v="1"/>
    <x v="1"/>
    <s v="Male"/>
    <x v="0"/>
    <n v="89.75"/>
    <n v="1"/>
    <n v="4.4874999999999998"/>
    <n v="94.237499999999997"/>
    <x v="10"/>
    <d v="1899-12-30T20:05:00"/>
    <x v="2"/>
    <x v="93"/>
    <n v="4.7619047620000003"/>
    <n v="4.4874999999999998"/>
    <n v="6.6"/>
  </r>
  <r>
    <s v="594-34-4444"/>
    <s v="A"/>
    <x v="0"/>
    <x v="1"/>
    <s v="Male"/>
    <x v="1"/>
    <n v="97.16"/>
    <n v="1"/>
    <n v="4.8579999999999997"/>
    <n v="102.018"/>
    <x v="1"/>
    <d v="1899-12-30T20:38:00"/>
    <x v="0"/>
    <x v="94"/>
    <n v="4.7619047620000003"/>
    <n v="4.8579999999999997"/>
    <n v="7.2"/>
  </r>
  <r>
    <s v="766-85-7061"/>
    <s v="B"/>
    <x v="2"/>
    <x v="1"/>
    <s v="Male"/>
    <x v="0"/>
    <n v="87.87"/>
    <n v="10"/>
    <n v="43.935000000000002"/>
    <n v="922.63499999999999"/>
    <x v="14"/>
    <d v="1899-12-30T10:25:00"/>
    <x v="0"/>
    <x v="95"/>
    <n v="4.7619047620000003"/>
    <n v="43.935000000000002"/>
    <n v="5.0999999999999996"/>
  </r>
  <r>
    <s v="871-39-9221"/>
    <s v="C"/>
    <x v="1"/>
    <x v="1"/>
    <s v="Female"/>
    <x v="1"/>
    <n v="12.45"/>
    <n v="6"/>
    <n v="3.7349999999999999"/>
    <n v="78.435000000000002"/>
    <x v="57"/>
    <d v="1899-12-30T13:11:00"/>
    <x v="1"/>
    <x v="96"/>
    <n v="4.7619047620000003"/>
    <n v="3.7349999999999999"/>
    <n v="4.0999999999999996"/>
  </r>
  <r>
    <s v="865-92-6136"/>
    <s v="A"/>
    <x v="0"/>
    <x v="1"/>
    <s v="Male"/>
    <x v="4"/>
    <n v="52.75"/>
    <n v="3"/>
    <n v="7.9124999999999996"/>
    <n v="166.16249999999999"/>
    <x v="28"/>
    <d v="1899-12-30T10:16:00"/>
    <x v="0"/>
    <x v="97"/>
    <n v="4.7619047620000003"/>
    <n v="7.9124999999999996"/>
    <n v="9.3000000000000007"/>
  </r>
  <r>
    <s v="733-01-9107"/>
    <s v="B"/>
    <x v="2"/>
    <x v="1"/>
    <s v="Male"/>
    <x v="2"/>
    <n v="82.7"/>
    <n v="6"/>
    <n v="24.81"/>
    <n v="521.01"/>
    <x v="19"/>
    <d v="1899-12-30T18:14:00"/>
    <x v="1"/>
    <x v="98"/>
    <n v="4.7619047620000003"/>
    <n v="24.81"/>
    <n v="7.4"/>
  </r>
  <r>
    <s v="163-56-7055"/>
    <s v="C"/>
    <x v="1"/>
    <x v="0"/>
    <s v="Male"/>
    <x v="5"/>
    <n v="48.71"/>
    <n v="1"/>
    <n v="2.4355000000000002"/>
    <n v="51.145499999999998"/>
    <x v="58"/>
    <d v="1899-12-30T19:20:00"/>
    <x v="1"/>
    <x v="99"/>
    <n v="4.7619047620000003"/>
    <n v="2.4355000000000002"/>
    <n v="4.0999999999999996"/>
  </r>
  <r>
    <s v="189-98-2939"/>
    <s v="C"/>
    <x v="1"/>
    <x v="1"/>
    <s v="Male"/>
    <x v="5"/>
    <n v="78.55"/>
    <n v="9"/>
    <n v="35.347499999999997"/>
    <n v="742.29750000000001"/>
    <x v="59"/>
    <d v="1899-12-30T13:22:00"/>
    <x v="1"/>
    <x v="100"/>
    <n v="4.7619047620000003"/>
    <n v="35.347499999999997"/>
    <n v="7.2"/>
  </r>
  <r>
    <s v="551-21-3069"/>
    <s v="C"/>
    <x v="1"/>
    <x v="1"/>
    <s v="Female"/>
    <x v="1"/>
    <n v="23.07"/>
    <n v="9"/>
    <n v="10.381500000000001"/>
    <n v="218.01150000000001"/>
    <x v="60"/>
    <d v="1899-12-30T11:27:00"/>
    <x v="1"/>
    <x v="101"/>
    <n v="4.7619047620000003"/>
    <n v="10.381500000000001"/>
    <n v="4.9000000000000004"/>
  </r>
  <r>
    <s v="212-62-1842"/>
    <s v="A"/>
    <x v="0"/>
    <x v="1"/>
    <s v="Male"/>
    <x v="4"/>
    <n v="58.26"/>
    <n v="6"/>
    <n v="17.478000000000002"/>
    <n v="367.03800000000001"/>
    <x v="61"/>
    <d v="1899-12-30T16:44:00"/>
    <x v="1"/>
    <x v="102"/>
    <n v="4.7619047620000003"/>
    <n v="17.478000000000002"/>
    <n v="9.9"/>
  </r>
  <r>
    <s v="716-39-1409"/>
    <s v="B"/>
    <x v="2"/>
    <x v="1"/>
    <s v="Male"/>
    <x v="0"/>
    <n v="30.35"/>
    <n v="7"/>
    <n v="10.6225"/>
    <n v="223.07249999999999"/>
    <x v="35"/>
    <d v="1899-12-30T18:19:00"/>
    <x v="1"/>
    <x v="103"/>
    <n v="4.7619047620000003"/>
    <n v="10.6225"/>
    <n v="8"/>
  </r>
  <r>
    <s v="704-48-3927"/>
    <s v="A"/>
    <x v="0"/>
    <x v="0"/>
    <s v="Male"/>
    <x v="1"/>
    <n v="88.67"/>
    <n v="10"/>
    <n v="44.335000000000001"/>
    <n v="931.03499999999997"/>
    <x v="52"/>
    <d v="1899-12-30T14:50:00"/>
    <x v="0"/>
    <x v="104"/>
    <n v="4.7619047620000003"/>
    <n v="44.335000000000001"/>
    <n v="7.3"/>
  </r>
  <r>
    <s v="628-34-3388"/>
    <s v="C"/>
    <x v="1"/>
    <x v="1"/>
    <s v="Male"/>
    <x v="5"/>
    <n v="27.38"/>
    <n v="6"/>
    <n v="8.2140000000000004"/>
    <n v="172.494"/>
    <x v="0"/>
    <d v="1899-12-30T20:54:00"/>
    <x v="2"/>
    <x v="105"/>
    <n v="4.7619047620000003"/>
    <n v="8.2140000000000004"/>
    <n v="7.9"/>
  </r>
  <r>
    <s v="630-74-5166"/>
    <s v="A"/>
    <x v="0"/>
    <x v="1"/>
    <s v="Male"/>
    <x v="3"/>
    <n v="62.13"/>
    <n v="6"/>
    <n v="18.638999999999999"/>
    <n v="391.41899999999998"/>
    <x v="23"/>
    <d v="1899-12-30T20:19:00"/>
    <x v="1"/>
    <x v="106"/>
    <n v="4.7619047620000003"/>
    <n v="18.638999999999999"/>
    <n v="7.4"/>
  </r>
  <r>
    <s v="588-01-7461"/>
    <s v="C"/>
    <x v="1"/>
    <x v="1"/>
    <s v="Female"/>
    <x v="4"/>
    <n v="33.979999999999997"/>
    <n v="9"/>
    <n v="15.291"/>
    <n v="321.11099999999999"/>
    <x v="62"/>
    <d v="1899-12-30T10:43:00"/>
    <x v="1"/>
    <x v="107"/>
    <n v="4.7619047620000003"/>
    <n v="15.291"/>
    <n v="4.2"/>
  </r>
  <r>
    <s v="861-77-0145"/>
    <s v="C"/>
    <x v="1"/>
    <x v="0"/>
    <s v="Male"/>
    <x v="1"/>
    <n v="81.97"/>
    <n v="10"/>
    <n v="40.984999999999999"/>
    <n v="860.68499999999995"/>
    <x v="2"/>
    <d v="1899-12-30T14:30:00"/>
    <x v="1"/>
    <x v="108"/>
    <n v="4.7619047620000003"/>
    <n v="40.984999999999999"/>
    <n v="9.1999999999999993"/>
  </r>
  <r>
    <s v="479-26-8945"/>
    <s v="B"/>
    <x v="2"/>
    <x v="0"/>
    <s v="Female"/>
    <x v="3"/>
    <n v="16.489999999999998"/>
    <n v="2"/>
    <n v="1.649"/>
    <n v="34.628999999999998"/>
    <x v="63"/>
    <d v="1899-12-30T11:32:00"/>
    <x v="0"/>
    <x v="109"/>
    <n v="4.7619047620000003"/>
    <n v="1.649"/>
    <n v="4.5999999999999996"/>
  </r>
  <r>
    <s v="210-67-5886"/>
    <s v="C"/>
    <x v="1"/>
    <x v="0"/>
    <s v="Female"/>
    <x v="0"/>
    <n v="98.21"/>
    <n v="3"/>
    <n v="14.7315"/>
    <n v="309.36149999999998"/>
    <x v="63"/>
    <d v="1899-12-30T10:41:00"/>
    <x v="2"/>
    <x v="110"/>
    <n v="4.7619047620000003"/>
    <n v="14.7315"/>
    <n v="7.8"/>
  </r>
  <r>
    <s v="227-78-1148"/>
    <s v="B"/>
    <x v="2"/>
    <x v="1"/>
    <s v="Female"/>
    <x v="5"/>
    <n v="72.84"/>
    <n v="7"/>
    <n v="25.494"/>
    <n v="535.37400000000002"/>
    <x v="42"/>
    <d v="1899-12-30T12:44:00"/>
    <x v="1"/>
    <x v="111"/>
    <n v="4.7619047620000003"/>
    <n v="25.494"/>
    <n v="8.4"/>
  </r>
  <r>
    <s v="645-44-1170"/>
    <s v="A"/>
    <x v="0"/>
    <x v="0"/>
    <s v="Male"/>
    <x v="2"/>
    <n v="58.07"/>
    <n v="9"/>
    <n v="26.131499999999999"/>
    <n v="548.76149999999996"/>
    <x v="64"/>
    <d v="1899-12-30T20:07:00"/>
    <x v="0"/>
    <x v="112"/>
    <n v="4.7619047620000003"/>
    <n v="26.131499999999999"/>
    <n v="4.3"/>
  </r>
  <r>
    <s v="237-01-6122"/>
    <s v="C"/>
    <x v="1"/>
    <x v="0"/>
    <s v="Female"/>
    <x v="2"/>
    <n v="80.790000000000006"/>
    <n v="9"/>
    <n v="36.355499999999999"/>
    <n v="763.46550000000002"/>
    <x v="60"/>
    <d v="1899-12-30T20:31:00"/>
    <x v="2"/>
    <x v="113"/>
    <n v="4.7619047620000003"/>
    <n v="36.355499999999999"/>
    <n v="9.5"/>
  </r>
  <r>
    <s v="225-98-1496"/>
    <s v="C"/>
    <x v="1"/>
    <x v="1"/>
    <s v="Female"/>
    <x v="5"/>
    <n v="27.02"/>
    <n v="3"/>
    <n v="4.0529999999999999"/>
    <n v="85.113"/>
    <x v="22"/>
    <d v="1899-12-30T13:01:00"/>
    <x v="2"/>
    <x v="114"/>
    <n v="4.7619047620000003"/>
    <n v="4.0529999999999999"/>
    <n v="7.1"/>
  </r>
  <r>
    <s v="291-32-1427"/>
    <s v="B"/>
    <x v="2"/>
    <x v="0"/>
    <s v="Male"/>
    <x v="5"/>
    <n v="21.94"/>
    <n v="5"/>
    <n v="5.4850000000000003"/>
    <n v="115.185"/>
    <x v="19"/>
    <d v="1899-12-30T12:29:00"/>
    <x v="0"/>
    <x v="115"/>
    <n v="4.7619047620000003"/>
    <n v="5.4850000000000003"/>
    <n v="5.3"/>
  </r>
  <r>
    <s v="659-65-8956"/>
    <s v="B"/>
    <x v="2"/>
    <x v="0"/>
    <s v="Male"/>
    <x v="5"/>
    <n v="51.36"/>
    <n v="1"/>
    <n v="2.5680000000000001"/>
    <n v="53.927999999999997"/>
    <x v="65"/>
    <d v="1899-12-30T15:26:00"/>
    <x v="0"/>
    <x v="116"/>
    <n v="4.7619047620000003"/>
    <n v="2.5680000000000001"/>
    <n v="5.2"/>
  </r>
  <r>
    <s v="642-32-2990"/>
    <s v="A"/>
    <x v="0"/>
    <x v="1"/>
    <s v="Female"/>
    <x v="4"/>
    <n v="10.96"/>
    <n v="10"/>
    <n v="5.48"/>
    <n v="115.08"/>
    <x v="30"/>
    <d v="1899-12-30T20:48:00"/>
    <x v="0"/>
    <x v="117"/>
    <n v="4.7619047620000003"/>
    <n v="5.48"/>
    <n v="6"/>
  </r>
  <r>
    <s v="378-24-2715"/>
    <s v="B"/>
    <x v="2"/>
    <x v="1"/>
    <s v="Male"/>
    <x v="2"/>
    <n v="53.44"/>
    <n v="2"/>
    <n v="5.3440000000000003"/>
    <n v="112.224"/>
    <x v="40"/>
    <d v="1899-12-30T20:38:00"/>
    <x v="0"/>
    <x v="118"/>
    <n v="4.7619047620000003"/>
    <n v="5.3440000000000003"/>
    <n v="4.0999999999999996"/>
  </r>
  <r>
    <s v="638-60-7125"/>
    <s v="A"/>
    <x v="0"/>
    <x v="1"/>
    <s v="Female"/>
    <x v="1"/>
    <n v="99.56"/>
    <n v="8"/>
    <n v="39.823999999999998"/>
    <n v="836.30399999999997"/>
    <x v="44"/>
    <d v="1899-12-30T17:03:00"/>
    <x v="2"/>
    <x v="119"/>
    <n v="4.7619047620000003"/>
    <n v="39.823999999999998"/>
    <n v="5.2"/>
  </r>
  <r>
    <s v="659-36-1684"/>
    <s v="C"/>
    <x v="1"/>
    <x v="0"/>
    <s v="Male"/>
    <x v="3"/>
    <n v="57.12"/>
    <n v="7"/>
    <n v="19.992000000000001"/>
    <n v="419.83199999999999"/>
    <x v="52"/>
    <d v="1899-12-30T12:02:00"/>
    <x v="2"/>
    <x v="120"/>
    <n v="4.7619047620000003"/>
    <n v="19.992000000000001"/>
    <n v="6.5"/>
  </r>
  <r>
    <s v="219-22-9386"/>
    <s v="B"/>
    <x v="2"/>
    <x v="0"/>
    <s v="Male"/>
    <x v="3"/>
    <n v="99.96"/>
    <n v="9"/>
    <n v="44.981999999999999"/>
    <n v="944.62199999999996"/>
    <x v="11"/>
    <d v="1899-12-30T17:26:00"/>
    <x v="2"/>
    <x v="121"/>
    <n v="4.7619047620000003"/>
    <n v="44.981999999999999"/>
    <n v="4.2"/>
  </r>
  <r>
    <s v="336-78-2147"/>
    <s v="C"/>
    <x v="1"/>
    <x v="0"/>
    <s v="Male"/>
    <x v="2"/>
    <n v="63.91"/>
    <n v="8"/>
    <n v="25.564"/>
    <n v="536.84400000000005"/>
    <x v="45"/>
    <d v="1899-12-30T19:52:00"/>
    <x v="2"/>
    <x v="122"/>
    <n v="4.7619047620000003"/>
    <n v="25.564"/>
    <n v="4.5999999999999996"/>
  </r>
  <r>
    <s v="268-27-6179"/>
    <s v="B"/>
    <x v="2"/>
    <x v="0"/>
    <s v="Female"/>
    <x v="5"/>
    <n v="56.47"/>
    <n v="8"/>
    <n v="22.588000000000001"/>
    <n v="474.34800000000001"/>
    <x v="11"/>
    <d v="1899-12-30T14:57:00"/>
    <x v="0"/>
    <x v="123"/>
    <n v="4.7619047620000003"/>
    <n v="22.588000000000001"/>
    <n v="7.3"/>
  </r>
  <r>
    <s v="668-90-8900"/>
    <s v="A"/>
    <x v="0"/>
    <x v="1"/>
    <s v="Female"/>
    <x v="2"/>
    <n v="93.69"/>
    <n v="7"/>
    <n v="32.791499999999999"/>
    <n v="688.62149999999997"/>
    <x v="24"/>
    <d v="1899-12-30T18:44:00"/>
    <x v="2"/>
    <x v="124"/>
    <n v="4.7619047620000003"/>
    <n v="32.791499999999999"/>
    <n v="4.5"/>
  </r>
  <r>
    <s v="870-54-3162"/>
    <s v="A"/>
    <x v="0"/>
    <x v="1"/>
    <s v="Female"/>
    <x v="3"/>
    <n v="32.25"/>
    <n v="5"/>
    <n v="8.0625"/>
    <n v="169.3125"/>
    <x v="3"/>
    <d v="1899-12-30T13:26:00"/>
    <x v="1"/>
    <x v="125"/>
    <n v="4.7619047620000003"/>
    <n v="8.0625"/>
    <n v="9"/>
  </r>
  <r>
    <s v="189-08-9157"/>
    <s v="C"/>
    <x v="1"/>
    <x v="1"/>
    <s v="Female"/>
    <x v="5"/>
    <n v="31.73"/>
    <n v="9"/>
    <n v="14.278499999999999"/>
    <n v="299.8485"/>
    <x v="66"/>
    <d v="1899-12-30T16:17:00"/>
    <x v="2"/>
    <x v="126"/>
    <n v="4.7619047620000003"/>
    <n v="14.278499999999999"/>
    <n v="5.9"/>
  </r>
  <r>
    <s v="663-86-9076"/>
    <s v="C"/>
    <x v="1"/>
    <x v="0"/>
    <s v="Female"/>
    <x v="4"/>
    <n v="68.540000000000006"/>
    <n v="8"/>
    <n v="27.416"/>
    <n v="575.73599999999999"/>
    <x v="66"/>
    <d v="1899-12-30T15:57:00"/>
    <x v="0"/>
    <x v="127"/>
    <n v="4.7619047620000003"/>
    <n v="27.416"/>
    <n v="8.5"/>
  </r>
  <r>
    <s v="549-84-7482"/>
    <s v="B"/>
    <x v="2"/>
    <x v="1"/>
    <s v="Female"/>
    <x v="3"/>
    <n v="90.28"/>
    <n v="9"/>
    <n v="40.625999999999998"/>
    <n v="853.14599999999996"/>
    <x v="4"/>
    <d v="1899-12-30T11:15:00"/>
    <x v="0"/>
    <x v="128"/>
    <n v="4.7619047620000003"/>
    <n v="40.625999999999998"/>
    <n v="7.2"/>
  </r>
  <r>
    <s v="191-10-6171"/>
    <s v="B"/>
    <x v="2"/>
    <x v="1"/>
    <s v="Female"/>
    <x v="5"/>
    <n v="39.619999999999997"/>
    <n v="7"/>
    <n v="13.867000000000001"/>
    <n v="291.20699999999999"/>
    <x v="25"/>
    <d v="1899-12-30T13:18:00"/>
    <x v="1"/>
    <x v="129"/>
    <n v="4.7619047620000003"/>
    <n v="13.867000000000001"/>
    <n v="7.5"/>
  </r>
  <r>
    <s v="802-70-5316"/>
    <s v="A"/>
    <x v="0"/>
    <x v="0"/>
    <s v="Female"/>
    <x v="3"/>
    <n v="92.13"/>
    <n v="6"/>
    <n v="27.638999999999999"/>
    <n v="580.41899999999998"/>
    <x v="43"/>
    <d v="1899-12-30T20:34:00"/>
    <x v="1"/>
    <x v="130"/>
    <n v="4.7619047620000003"/>
    <n v="27.638999999999999"/>
    <n v="8.3000000000000007"/>
  </r>
  <r>
    <s v="695-51-0018"/>
    <s v="B"/>
    <x v="2"/>
    <x v="1"/>
    <s v="Female"/>
    <x v="3"/>
    <n v="34.840000000000003"/>
    <n v="4"/>
    <n v="6.968"/>
    <n v="146.328"/>
    <x v="34"/>
    <d v="1899-12-30T18:36:00"/>
    <x v="1"/>
    <x v="131"/>
    <n v="4.7619047620000003"/>
    <n v="6.968"/>
    <n v="7.4"/>
  </r>
  <r>
    <s v="590-83-4591"/>
    <s v="B"/>
    <x v="2"/>
    <x v="0"/>
    <s v="Male"/>
    <x v="1"/>
    <n v="87.45"/>
    <n v="6"/>
    <n v="26.234999999999999"/>
    <n v="550.93499999999995"/>
    <x v="21"/>
    <d v="1899-12-30T14:40:00"/>
    <x v="2"/>
    <x v="132"/>
    <n v="4.7619047620000003"/>
    <n v="26.234999999999999"/>
    <n v="8.8000000000000007"/>
  </r>
  <r>
    <s v="483-71-1164"/>
    <s v="C"/>
    <x v="1"/>
    <x v="1"/>
    <s v="Female"/>
    <x v="0"/>
    <n v="81.3"/>
    <n v="6"/>
    <n v="24.39"/>
    <n v="512.19000000000005"/>
    <x v="1"/>
    <d v="1899-12-30T16:43:00"/>
    <x v="0"/>
    <x v="133"/>
    <n v="4.7619047620000003"/>
    <n v="24.39"/>
    <n v="5.3"/>
  </r>
  <r>
    <s v="597-78-7908"/>
    <s v="C"/>
    <x v="1"/>
    <x v="1"/>
    <s v="Male"/>
    <x v="5"/>
    <n v="90.22"/>
    <n v="3"/>
    <n v="13.532999999999999"/>
    <n v="284.19299999999998"/>
    <x v="67"/>
    <d v="1899-12-30T19:39:00"/>
    <x v="1"/>
    <x v="134"/>
    <n v="4.7619047620000003"/>
    <n v="13.532999999999999"/>
    <n v="6.2"/>
  </r>
  <r>
    <s v="700-81-1757"/>
    <s v="A"/>
    <x v="0"/>
    <x v="1"/>
    <s v="Female"/>
    <x v="1"/>
    <n v="26.31"/>
    <n v="5"/>
    <n v="6.5774999999999997"/>
    <n v="138.1275"/>
    <x v="68"/>
    <d v="1899-12-30T20:59:00"/>
    <x v="2"/>
    <x v="135"/>
    <n v="4.7619047620000003"/>
    <n v="6.5774999999999997"/>
    <n v="8.8000000000000007"/>
  </r>
  <r>
    <s v="354-39-5160"/>
    <s v="A"/>
    <x v="0"/>
    <x v="0"/>
    <s v="Female"/>
    <x v="2"/>
    <n v="34.42"/>
    <n v="6"/>
    <n v="10.326000000000001"/>
    <n v="216.846"/>
    <x v="67"/>
    <d v="1899-12-30T15:39:00"/>
    <x v="1"/>
    <x v="136"/>
    <n v="4.7619047620000003"/>
    <n v="10.326000000000001"/>
    <n v="9.8000000000000007"/>
  </r>
  <r>
    <s v="241-72-9525"/>
    <s v="B"/>
    <x v="2"/>
    <x v="1"/>
    <s v="Male"/>
    <x v="3"/>
    <n v="51.91"/>
    <n v="10"/>
    <n v="25.954999999999998"/>
    <n v="545.05499999999995"/>
    <x v="69"/>
    <d v="1899-12-30T12:21:00"/>
    <x v="1"/>
    <x v="137"/>
    <n v="4.7619047620000003"/>
    <n v="25.954999999999998"/>
    <n v="8.1999999999999993"/>
  </r>
  <r>
    <s v="575-30-8091"/>
    <s v="A"/>
    <x v="0"/>
    <x v="1"/>
    <s v="Male"/>
    <x v="3"/>
    <n v="72.5"/>
    <n v="8"/>
    <n v="29"/>
    <n v="609"/>
    <x v="32"/>
    <d v="1899-12-30T19:25:00"/>
    <x v="0"/>
    <x v="138"/>
    <n v="4.7619047620000003"/>
    <n v="29"/>
    <n v="9.1999999999999993"/>
  </r>
  <r>
    <s v="731-81-9469"/>
    <s v="C"/>
    <x v="1"/>
    <x v="0"/>
    <s v="Female"/>
    <x v="3"/>
    <n v="89.8"/>
    <n v="10"/>
    <n v="44.9"/>
    <n v="942.9"/>
    <x v="54"/>
    <d v="1899-12-30T13:00:00"/>
    <x v="2"/>
    <x v="139"/>
    <n v="4.7619047620000003"/>
    <n v="44.9"/>
    <n v="5.4"/>
  </r>
  <r>
    <s v="280-17-4359"/>
    <s v="C"/>
    <x v="1"/>
    <x v="0"/>
    <s v="Male"/>
    <x v="0"/>
    <n v="90.5"/>
    <n v="10"/>
    <n v="45.25"/>
    <n v="950.25"/>
    <x v="25"/>
    <d v="1899-12-30T13:48:00"/>
    <x v="1"/>
    <x v="140"/>
    <n v="4.7619047620000003"/>
    <n v="45.25"/>
    <n v="8.1"/>
  </r>
  <r>
    <s v="338-65-2210"/>
    <s v="C"/>
    <x v="1"/>
    <x v="0"/>
    <s v="Female"/>
    <x v="0"/>
    <n v="68.599999999999994"/>
    <n v="10"/>
    <n v="34.299999999999997"/>
    <n v="720.3"/>
    <x v="63"/>
    <d v="1899-12-30T19:57:00"/>
    <x v="1"/>
    <x v="141"/>
    <n v="4.7619047620000003"/>
    <n v="34.299999999999997"/>
    <n v="9.1"/>
  </r>
  <r>
    <s v="488-25-4221"/>
    <s v="C"/>
    <x v="1"/>
    <x v="0"/>
    <s v="Female"/>
    <x v="4"/>
    <n v="30.41"/>
    <n v="1"/>
    <n v="1.5205"/>
    <n v="31.930499999999999"/>
    <x v="70"/>
    <d v="1899-12-30T10:36:00"/>
    <x v="2"/>
    <x v="142"/>
    <n v="4.7619047620000003"/>
    <n v="1.5205"/>
    <n v="8.4"/>
  </r>
  <r>
    <s v="239-10-7476"/>
    <s v="A"/>
    <x v="0"/>
    <x v="1"/>
    <s v="Female"/>
    <x v="2"/>
    <n v="77.95"/>
    <n v="6"/>
    <n v="23.385000000000002"/>
    <n v="491.08499999999998"/>
    <x v="18"/>
    <d v="1899-12-30T16:37:00"/>
    <x v="0"/>
    <x v="143"/>
    <n v="4.7619047620000003"/>
    <n v="23.385000000000002"/>
    <n v="8"/>
  </r>
  <r>
    <s v="458-41-1477"/>
    <s v="C"/>
    <x v="1"/>
    <x v="1"/>
    <s v="Female"/>
    <x v="0"/>
    <n v="46.26"/>
    <n v="6"/>
    <n v="13.878"/>
    <n v="291.43799999999999"/>
    <x v="1"/>
    <d v="1899-12-30T17:11:00"/>
    <x v="2"/>
    <x v="144"/>
    <n v="4.7619047620000003"/>
    <n v="13.878"/>
    <n v="9.5"/>
  </r>
  <r>
    <s v="685-64-1609"/>
    <s v="A"/>
    <x v="0"/>
    <x v="0"/>
    <s v="Female"/>
    <x v="5"/>
    <n v="30.14"/>
    <n v="10"/>
    <n v="15.07"/>
    <n v="316.47000000000003"/>
    <x v="34"/>
    <d v="1899-12-30T12:28:00"/>
    <x v="0"/>
    <x v="145"/>
    <n v="4.7619047620000003"/>
    <n v="15.07"/>
    <n v="9.1999999999999993"/>
  </r>
  <r>
    <s v="568-90-5112"/>
    <s v="C"/>
    <x v="1"/>
    <x v="1"/>
    <s v="Male"/>
    <x v="0"/>
    <n v="66.14"/>
    <n v="4"/>
    <n v="13.228"/>
    <n v="277.78800000000001"/>
    <x v="35"/>
    <d v="1899-12-30T12:46:00"/>
    <x v="2"/>
    <x v="146"/>
    <n v="4.7619047620000003"/>
    <n v="13.228"/>
    <n v="5.6"/>
  </r>
  <r>
    <s v="262-47-2794"/>
    <s v="B"/>
    <x v="2"/>
    <x v="0"/>
    <s v="Male"/>
    <x v="2"/>
    <n v="71.86"/>
    <n v="8"/>
    <n v="28.744"/>
    <n v="603.62400000000002"/>
    <x v="43"/>
    <d v="1899-12-30T15:07:00"/>
    <x v="2"/>
    <x v="147"/>
    <n v="4.7619047620000003"/>
    <n v="28.744"/>
    <n v="6.2"/>
  </r>
  <r>
    <s v="238-49-0436"/>
    <s v="A"/>
    <x v="0"/>
    <x v="1"/>
    <s v="Male"/>
    <x v="0"/>
    <n v="32.46"/>
    <n v="8"/>
    <n v="12.984"/>
    <n v="272.66399999999999"/>
    <x v="39"/>
    <d v="1899-12-30T13:48:00"/>
    <x v="2"/>
    <x v="148"/>
    <n v="4.7619047620000003"/>
    <n v="12.984"/>
    <n v="4.9000000000000004"/>
  </r>
  <r>
    <s v="608-96-3517"/>
    <s v="B"/>
    <x v="2"/>
    <x v="0"/>
    <s v="Female"/>
    <x v="5"/>
    <n v="91.54"/>
    <n v="4"/>
    <n v="18.308"/>
    <n v="384.46800000000002"/>
    <x v="28"/>
    <d v="1899-12-30T19:20:00"/>
    <x v="2"/>
    <x v="149"/>
    <n v="4.7619047620000003"/>
    <n v="18.308"/>
    <n v="4.8"/>
  </r>
  <r>
    <s v="584-86-7256"/>
    <s v="C"/>
    <x v="1"/>
    <x v="0"/>
    <s v="Male"/>
    <x v="3"/>
    <n v="34.56"/>
    <n v="7"/>
    <n v="12.096"/>
    <n v="254.01599999999999"/>
    <x v="16"/>
    <d v="1899-12-30T16:07:00"/>
    <x v="2"/>
    <x v="150"/>
    <n v="4.7619047620000003"/>
    <n v="12.096"/>
    <n v="7.3"/>
  </r>
  <r>
    <s v="746-94-0204"/>
    <s v="A"/>
    <x v="0"/>
    <x v="1"/>
    <s v="Male"/>
    <x v="5"/>
    <n v="83.24"/>
    <n v="9"/>
    <n v="37.457999999999998"/>
    <n v="786.61800000000005"/>
    <x v="71"/>
    <d v="1899-12-30T11:56:00"/>
    <x v="2"/>
    <x v="151"/>
    <n v="4.7619047620000003"/>
    <n v="37.457999999999998"/>
    <n v="7.4"/>
  </r>
  <r>
    <s v="214-17-6927"/>
    <s v="C"/>
    <x v="1"/>
    <x v="1"/>
    <s v="Female"/>
    <x v="4"/>
    <n v="16.48"/>
    <n v="6"/>
    <n v="4.944"/>
    <n v="103.824"/>
    <x v="13"/>
    <d v="1899-12-30T18:23:00"/>
    <x v="0"/>
    <x v="152"/>
    <n v="4.7619047620000003"/>
    <n v="4.944"/>
    <n v="9.9"/>
  </r>
  <r>
    <s v="400-89-4171"/>
    <s v="C"/>
    <x v="1"/>
    <x v="1"/>
    <s v="Female"/>
    <x v="3"/>
    <n v="80.97"/>
    <n v="8"/>
    <n v="32.387999999999998"/>
    <n v="680.14800000000002"/>
    <x v="26"/>
    <d v="1899-12-30T13:05:00"/>
    <x v="1"/>
    <x v="153"/>
    <n v="4.7619047620000003"/>
    <n v="32.387999999999998"/>
    <n v="9.3000000000000007"/>
  </r>
  <r>
    <s v="782-95-9291"/>
    <s v="A"/>
    <x v="0"/>
    <x v="0"/>
    <s v="Male"/>
    <x v="4"/>
    <n v="92.29"/>
    <n v="5"/>
    <n v="23.072500000000002"/>
    <n v="484.52249999999998"/>
    <x v="9"/>
    <d v="1899-12-30T15:55:00"/>
    <x v="2"/>
    <x v="154"/>
    <n v="4.7619047620000003"/>
    <n v="23.072500000000002"/>
    <n v="9"/>
  </r>
  <r>
    <s v="279-74-2924"/>
    <s v="B"/>
    <x v="2"/>
    <x v="0"/>
    <s v="Male"/>
    <x v="1"/>
    <n v="72.17"/>
    <n v="1"/>
    <n v="3.6084999999999998"/>
    <n v="75.778499999999994"/>
    <x v="72"/>
    <d v="1899-12-30T19:40:00"/>
    <x v="1"/>
    <x v="155"/>
    <n v="4.7619047620000003"/>
    <n v="3.6084999999999998"/>
    <n v="6.1"/>
  </r>
  <r>
    <s v="307-85-2293"/>
    <s v="B"/>
    <x v="2"/>
    <x v="1"/>
    <s v="Male"/>
    <x v="2"/>
    <n v="50.28"/>
    <n v="5"/>
    <n v="12.57"/>
    <n v="263.97000000000003"/>
    <x v="37"/>
    <d v="1899-12-30T13:58:00"/>
    <x v="0"/>
    <x v="156"/>
    <n v="4.7619047620000003"/>
    <n v="12.57"/>
    <n v="9.6999999999999993"/>
  </r>
  <r>
    <s v="743-04-1105"/>
    <s v="B"/>
    <x v="2"/>
    <x v="0"/>
    <s v="Male"/>
    <x v="0"/>
    <n v="97.22"/>
    <n v="9"/>
    <n v="43.749000000000002"/>
    <n v="918.72900000000004"/>
    <x v="73"/>
    <d v="1899-12-30T14:43:00"/>
    <x v="0"/>
    <x v="157"/>
    <n v="4.7619047620000003"/>
    <n v="43.749000000000002"/>
    <n v="6"/>
  </r>
  <r>
    <s v="423-57-2993"/>
    <s v="B"/>
    <x v="2"/>
    <x v="1"/>
    <s v="Male"/>
    <x v="3"/>
    <n v="93.39"/>
    <n v="6"/>
    <n v="28.016999999999999"/>
    <n v="588.35699999999997"/>
    <x v="39"/>
    <d v="1899-12-30T19:18:00"/>
    <x v="0"/>
    <x v="158"/>
    <n v="4.7619047620000003"/>
    <n v="28.016999999999999"/>
    <n v="10"/>
  </r>
  <r>
    <s v="894-41-5205"/>
    <s v="C"/>
    <x v="1"/>
    <x v="1"/>
    <s v="Female"/>
    <x v="4"/>
    <n v="43.18"/>
    <n v="8"/>
    <n v="17.271999999999998"/>
    <n v="362.71199999999999"/>
    <x v="64"/>
    <d v="1899-12-30T19:39:00"/>
    <x v="2"/>
    <x v="159"/>
    <n v="4.7619047620000003"/>
    <n v="17.271999999999998"/>
    <n v="8.3000000000000007"/>
  </r>
  <r>
    <s v="275-28-0149"/>
    <s v="A"/>
    <x v="0"/>
    <x v="1"/>
    <s v="Male"/>
    <x v="3"/>
    <n v="63.69"/>
    <n v="1"/>
    <n v="3.1844999999999999"/>
    <n v="66.874499999999998"/>
    <x v="6"/>
    <d v="1899-12-30T16:21:00"/>
    <x v="1"/>
    <x v="160"/>
    <n v="4.7619047620000003"/>
    <n v="3.1844999999999999"/>
    <n v="6"/>
  </r>
  <r>
    <s v="101-17-6199"/>
    <s v="A"/>
    <x v="0"/>
    <x v="1"/>
    <s v="Male"/>
    <x v="4"/>
    <n v="45.79"/>
    <n v="7"/>
    <n v="16.026499999999999"/>
    <n v="336.55650000000003"/>
    <x v="45"/>
    <d v="1899-12-30T19:44:00"/>
    <x v="2"/>
    <x v="161"/>
    <n v="4.7619047620000003"/>
    <n v="16.026499999999999"/>
    <n v="7"/>
  </r>
  <r>
    <s v="423-80-0988"/>
    <s v="C"/>
    <x v="1"/>
    <x v="1"/>
    <s v="Male"/>
    <x v="3"/>
    <n v="76.400000000000006"/>
    <n v="2"/>
    <n v="7.64"/>
    <n v="160.44"/>
    <x v="74"/>
    <d v="1899-12-30T19:42:00"/>
    <x v="0"/>
    <x v="162"/>
    <n v="4.7619047620000003"/>
    <n v="7.64"/>
    <n v="6.5"/>
  </r>
  <r>
    <s v="548-46-9322"/>
    <s v="B"/>
    <x v="2"/>
    <x v="1"/>
    <s v="Male"/>
    <x v="4"/>
    <n v="39.9"/>
    <n v="10"/>
    <n v="19.95"/>
    <n v="418.95"/>
    <x v="9"/>
    <d v="1899-12-30T15:24:00"/>
    <x v="2"/>
    <x v="163"/>
    <n v="4.7619047620000003"/>
    <n v="19.95"/>
    <n v="5.9"/>
  </r>
  <r>
    <s v="505-02-0892"/>
    <s v="B"/>
    <x v="2"/>
    <x v="0"/>
    <s v="Male"/>
    <x v="0"/>
    <n v="42.57"/>
    <n v="8"/>
    <n v="17.027999999999999"/>
    <n v="357.58800000000002"/>
    <x v="6"/>
    <d v="1899-12-30T14:12:00"/>
    <x v="0"/>
    <x v="164"/>
    <n v="4.7619047620000003"/>
    <n v="17.027999999999999"/>
    <n v="5.6"/>
  </r>
  <r>
    <s v="234-65-2137"/>
    <s v="C"/>
    <x v="1"/>
    <x v="1"/>
    <s v="Male"/>
    <x v="2"/>
    <n v="95.58"/>
    <n v="10"/>
    <n v="47.79"/>
    <n v="1003.59"/>
    <x v="65"/>
    <d v="1899-12-30T13:32:00"/>
    <x v="1"/>
    <x v="165"/>
    <n v="4.7619047620000003"/>
    <n v="47.79"/>
    <n v="4.8"/>
  </r>
  <r>
    <s v="687-47-8271"/>
    <s v="A"/>
    <x v="0"/>
    <x v="1"/>
    <s v="Male"/>
    <x v="5"/>
    <n v="98.98"/>
    <n v="10"/>
    <n v="49.49"/>
    <n v="1039.29"/>
    <x v="4"/>
    <d v="1899-12-30T16:20:00"/>
    <x v="2"/>
    <x v="166"/>
    <n v="4.7619047620000003"/>
    <n v="49.49"/>
    <n v="8.6999999999999993"/>
  </r>
  <r>
    <s v="796-32-9050"/>
    <s v="A"/>
    <x v="0"/>
    <x v="1"/>
    <s v="Male"/>
    <x v="4"/>
    <n v="51.28"/>
    <n v="6"/>
    <n v="15.384"/>
    <n v="323.06400000000002"/>
    <x v="64"/>
    <d v="1899-12-30T16:31:00"/>
    <x v="1"/>
    <x v="167"/>
    <n v="4.7619047620000003"/>
    <n v="15.384"/>
    <n v="6.5"/>
  </r>
  <r>
    <s v="105-31-1824"/>
    <s v="A"/>
    <x v="0"/>
    <x v="0"/>
    <s v="Male"/>
    <x v="3"/>
    <n v="69.52"/>
    <n v="7"/>
    <n v="24.332000000000001"/>
    <n v="510.97199999999998"/>
    <x v="60"/>
    <d v="1899-12-30T15:10:00"/>
    <x v="2"/>
    <x v="168"/>
    <n v="4.7619047620000003"/>
    <n v="24.332000000000001"/>
    <n v="8.5"/>
  </r>
  <r>
    <s v="249-42-3782"/>
    <s v="A"/>
    <x v="0"/>
    <x v="1"/>
    <s v="Male"/>
    <x v="0"/>
    <n v="70.010000000000005"/>
    <n v="5"/>
    <n v="17.502500000000001"/>
    <n v="367.55250000000001"/>
    <x v="75"/>
    <d v="1899-12-30T11:36:00"/>
    <x v="0"/>
    <x v="169"/>
    <n v="4.7619047620000003"/>
    <n v="17.502500000000001"/>
    <n v="5.5"/>
  </r>
  <r>
    <s v="316-55-4634"/>
    <s v="B"/>
    <x v="2"/>
    <x v="0"/>
    <s v="Male"/>
    <x v="4"/>
    <n v="80.05"/>
    <n v="5"/>
    <n v="20.012499999999999"/>
    <n v="420.26249999999999"/>
    <x v="53"/>
    <d v="1899-12-30T12:45:00"/>
    <x v="2"/>
    <x v="170"/>
    <n v="4.7619047620000003"/>
    <n v="20.012499999999999"/>
    <n v="9.4"/>
  </r>
  <r>
    <s v="733-33-4967"/>
    <s v="C"/>
    <x v="1"/>
    <x v="1"/>
    <s v="Male"/>
    <x v="1"/>
    <n v="20.85"/>
    <n v="8"/>
    <n v="8.34"/>
    <n v="175.14"/>
    <x v="2"/>
    <d v="1899-12-30T19:17:00"/>
    <x v="1"/>
    <x v="171"/>
    <n v="4.7619047620000003"/>
    <n v="8.34"/>
    <n v="6.3"/>
  </r>
  <r>
    <s v="608-27-6295"/>
    <s v="B"/>
    <x v="2"/>
    <x v="0"/>
    <s v="Male"/>
    <x v="1"/>
    <n v="52.89"/>
    <n v="6"/>
    <n v="15.867000000000001"/>
    <n v="333.20699999999999"/>
    <x v="64"/>
    <d v="1899-12-30T17:34:00"/>
    <x v="2"/>
    <x v="172"/>
    <n v="4.7619047620000003"/>
    <n v="15.867000000000001"/>
    <n v="9.8000000000000007"/>
  </r>
  <r>
    <s v="414-12-7047"/>
    <s v="B"/>
    <x v="2"/>
    <x v="1"/>
    <s v="Male"/>
    <x v="4"/>
    <n v="19.79"/>
    <n v="8"/>
    <n v="7.9160000000000004"/>
    <n v="166.23599999999999"/>
    <x v="68"/>
    <d v="1899-12-30T12:04:00"/>
    <x v="0"/>
    <x v="173"/>
    <n v="4.7619047620000003"/>
    <n v="7.9160000000000004"/>
    <n v="8.6999999999999993"/>
  </r>
  <r>
    <s v="827-26-2100"/>
    <s v="A"/>
    <x v="0"/>
    <x v="0"/>
    <s v="Male"/>
    <x v="2"/>
    <n v="33.840000000000003"/>
    <n v="9"/>
    <n v="15.228"/>
    <n v="319.78800000000001"/>
    <x v="76"/>
    <d v="1899-12-30T16:21:00"/>
    <x v="0"/>
    <x v="174"/>
    <n v="4.7619047620000003"/>
    <n v="15.228"/>
    <n v="8.8000000000000007"/>
  </r>
  <r>
    <s v="175-54-2529"/>
    <s v="A"/>
    <x v="0"/>
    <x v="0"/>
    <s v="Male"/>
    <x v="4"/>
    <n v="22.17"/>
    <n v="8"/>
    <n v="8.8680000000000003"/>
    <n v="186.22800000000001"/>
    <x v="2"/>
    <d v="1899-12-30T17:01:00"/>
    <x v="2"/>
    <x v="175"/>
    <n v="4.7619047620000003"/>
    <n v="8.8680000000000003"/>
    <n v="9.6"/>
  </r>
  <r>
    <s v="139-52-2867"/>
    <s v="C"/>
    <x v="1"/>
    <x v="1"/>
    <s v="Female"/>
    <x v="5"/>
    <n v="22.51"/>
    <n v="7"/>
    <n v="7.8784999999999998"/>
    <n v="165.4485"/>
    <x v="77"/>
    <d v="1899-12-30T10:50:00"/>
    <x v="2"/>
    <x v="176"/>
    <n v="4.7619047620000003"/>
    <n v="7.8784999999999998"/>
    <n v="4.8"/>
  </r>
  <r>
    <s v="407-63-8975"/>
    <s v="A"/>
    <x v="0"/>
    <x v="1"/>
    <s v="Male"/>
    <x v="4"/>
    <n v="73.88"/>
    <n v="6"/>
    <n v="22.164000000000001"/>
    <n v="465.44400000000002"/>
    <x v="28"/>
    <d v="1899-12-30T19:16:00"/>
    <x v="0"/>
    <x v="177"/>
    <n v="4.7619047620000003"/>
    <n v="22.164000000000001"/>
    <n v="4.4000000000000004"/>
  </r>
  <r>
    <s v="342-65-4817"/>
    <s v="C"/>
    <x v="1"/>
    <x v="0"/>
    <s v="Male"/>
    <x v="0"/>
    <n v="86.8"/>
    <n v="3"/>
    <n v="13.02"/>
    <n v="273.42"/>
    <x v="26"/>
    <d v="1899-12-30T16:47:00"/>
    <x v="0"/>
    <x v="178"/>
    <n v="4.7619047620000003"/>
    <n v="13.02"/>
    <n v="9.9"/>
  </r>
  <r>
    <s v="130-98-8941"/>
    <s v="C"/>
    <x v="1"/>
    <x v="1"/>
    <s v="Male"/>
    <x v="5"/>
    <n v="64.260000000000005"/>
    <n v="7"/>
    <n v="22.491"/>
    <n v="472.31099999999998"/>
    <x v="57"/>
    <d v="1899-12-30T10:00:00"/>
    <x v="1"/>
    <x v="179"/>
    <n v="4.7619047620000003"/>
    <n v="22.491"/>
    <n v="5.7"/>
  </r>
  <r>
    <s v="434-83-9547"/>
    <s v="C"/>
    <x v="1"/>
    <x v="0"/>
    <s v="Male"/>
    <x v="4"/>
    <n v="38.47"/>
    <n v="8"/>
    <n v="15.388"/>
    <n v="323.14800000000002"/>
    <x v="54"/>
    <d v="1899-12-30T11:51:00"/>
    <x v="1"/>
    <x v="180"/>
    <n v="4.7619047620000003"/>
    <n v="15.388"/>
    <n v="7.7"/>
  </r>
  <r>
    <s v="851-28-6367"/>
    <s v="A"/>
    <x v="0"/>
    <x v="0"/>
    <s v="Male"/>
    <x v="3"/>
    <n v="15.5"/>
    <n v="10"/>
    <n v="7.75"/>
    <n v="162.75"/>
    <x v="28"/>
    <d v="1899-12-30T10:55:00"/>
    <x v="0"/>
    <x v="181"/>
    <n v="4.7619047620000003"/>
    <n v="7.75"/>
    <n v="8"/>
  </r>
  <r>
    <s v="824-88-3614"/>
    <s v="C"/>
    <x v="1"/>
    <x v="1"/>
    <s v="Male"/>
    <x v="0"/>
    <n v="34.31"/>
    <n v="8"/>
    <n v="13.724"/>
    <n v="288.20400000000001"/>
    <x v="25"/>
    <d v="1899-12-30T15:00:00"/>
    <x v="0"/>
    <x v="182"/>
    <n v="4.7619047620000003"/>
    <n v="13.724"/>
    <n v="5.7"/>
  </r>
  <r>
    <s v="586-25-0848"/>
    <s v="A"/>
    <x v="0"/>
    <x v="1"/>
    <s v="Female"/>
    <x v="3"/>
    <n v="12.34"/>
    <n v="7"/>
    <n v="4.319"/>
    <n v="90.698999999999998"/>
    <x v="31"/>
    <d v="1899-12-30T11:19:00"/>
    <x v="2"/>
    <x v="183"/>
    <n v="4.7619047620000003"/>
    <n v="4.319"/>
    <n v="6.7"/>
  </r>
  <r>
    <s v="895-66-0685"/>
    <s v="B"/>
    <x v="2"/>
    <x v="0"/>
    <s v="Male"/>
    <x v="4"/>
    <n v="18.079999999999998"/>
    <n v="3"/>
    <n v="2.7120000000000002"/>
    <n v="56.951999999999998"/>
    <x v="19"/>
    <d v="1899-12-30T19:46:00"/>
    <x v="0"/>
    <x v="184"/>
    <n v="4.7619047620000003"/>
    <n v="2.7120000000000002"/>
    <n v="8"/>
  </r>
  <r>
    <s v="305-14-0245"/>
    <s v="B"/>
    <x v="2"/>
    <x v="0"/>
    <s v="Female"/>
    <x v="2"/>
    <n v="94.49"/>
    <n v="8"/>
    <n v="37.795999999999999"/>
    <n v="793.71600000000001"/>
    <x v="2"/>
    <d v="1899-12-30T19:00:00"/>
    <x v="0"/>
    <x v="185"/>
    <n v="4.7619047620000003"/>
    <n v="37.795999999999999"/>
    <n v="7.5"/>
  </r>
  <r>
    <s v="732-04-5373"/>
    <s v="B"/>
    <x v="2"/>
    <x v="0"/>
    <s v="Male"/>
    <x v="2"/>
    <n v="46.47"/>
    <n v="4"/>
    <n v="9.2940000000000005"/>
    <n v="195.17400000000001"/>
    <x v="4"/>
    <d v="1899-12-30T10:53:00"/>
    <x v="1"/>
    <x v="186"/>
    <n v="4.7619047620000003"/>
    <n v="9.2940000000000005"/>
    <n v="7"/>
  </r>
  <r>
    <s v="400-60-7251"/>
    <s v="A"/>
    <x v="0"/>
    <x v="1"/>
    <s v="Male"/>
    <x v="2"/>
    <n v="74.069999999999993"/>
    <n v="1"/>
    <n v="3.7035"/>
    <n v="77.773499999999999"/>
    <x v="34"/>
    <d v="1899-12-30T12:50:00"/>
    <x v="0"/>
    <x v="187"/>
    <n v="4.7619047620000003"/>
    <n v="3.7035"/>
    <n v="9.9"/>
  </r>
  <r>
    <s v="593-65-1552"/>
    <s v="C"/>
    <x v="1"/>
    <x v="1"/>
    <s v="Female"/>
    <x v="2"/>
    <n v="69.81"/>
    <n v="4"/>
    <n v="13.962"/>
    <n v="293.202"/>
    <x v="26"/>
    <d v="1899-12-30T20:50:00"/>
    <x v="2"/>
    <x v="188"/>
    <n v="4.7619047620000003"/>
    <n v="13.962"/>
    <n v="5.9"/>
  </r>
  <r>
    <s v="284-34-9626"/>
    <s v="B"/>
    <x v="2"/>
    <x v="1"/>
    <s v="Female"/>
    <x v="2"/>
    <n v="77.040000000000006"/>
    <n v="3"/>
    <n v="11.555999999999999"/>
    <n v="242.67599999999999"/>
    <x v="48"/>
    <d v="1899-12-30T10:39:00"/>
    <x v="2"/>
    <x v="189"/>
    <n v="4.7619047620000003"/>
    <n v="11.555999999999999"/>
    <n v="7.2"/>
  </r>
  <r>
    <s v="437-58-8131"/>
    <s v="B"/>
    <x v="2"/>
    <x v="1"/>
    <s v="Female"/>
    <x v="5"/>
    <n v="73.52"/>
    <n v="2"/>
    <n v="7.3520000000000003"/>
    <n v="154.392"/>
    <x v="15"/>
    <d v="1899-12-30T13:41:00"/>
    <x v="0"/>
    <x v="190"/>
    <n v="4.7619047620000003"/>
    <n v="7.3520000000000003"/>
    <n v="4.5999999999999996"/>
  </r>
  <r>
    <s v="286-43-6208"/>
    <s v="C"/>
    <x v="1"/>
    <x v="1"/>
    <s v="Female"/>
    <x v="4"/>
    <n v="87.8"/>
    <n v="9"/>
    <n v="39.51"/>
    <n v="829.71"/>
    <x v="32"/>
    <d v="1899-12-30T19:08:00"/>
    <x v="1"/>
    <x v="191"/>
    <n v="4.7619047620000003"/>
    <n v="39.51"/>
    <n v="9.1999999999999993"/>
  </r>
  <r>
    <s v="641-43-2399"/>
    <s v="B"/>
    <x v="2"/>
    <x v="1"/>
    <s v="Male"/>
    <x v="2"/>
    <n v="25.55"/>
    <n v="4"/>
    <n v="5.1100000000000003"/>
    <n v="107.31"/>
    <x v="53"/>
    <d v="1899-12-30T20:23:00"/>
    <x v="0"/>
    <x v="192"/>
    <n v="4.7619047620000003"/>
    <n v="5.1100000000000003"/>
    <n v="5.7"/>
  </r>
  <r>
    <s v="831-07-6050"/>
    <s v="A"/>
    <x v="0"/>
    <x v="1"/>
    <s v="Male"/>
    <x v="1"/>
    <n v="32.71"/>
    <n v="5"/>
    <n v="8.1775000000000002"/>
    <n v="171.72749999999999"/>
    <x v="35"/>
    <d v="1899-12-30T11:30:00"/>
    <x v="2"/>
    <x v="193"/>
    <n v="4.7619047620000003"/>
    <n v="8.1775000000000002"/>
    <n v="9.9"/>
  </r>
  <r>
    <s v="556-86-3144"/>
    <s v="C"/>
    <x v="1"/>
    <x v="0"/>
    <s v="Female"/>
    <x v="5"/>
    <n v="74.290000000000006"/>
    <n v="1"/>
    <n v="3.7145000000000001"/>
    <n v="78.004499999999993"/>
    <x v="50"/>
    <d v="1899-12-30T19:30:00"/>
    <x v="1"/>
    <x v="194"/>
    <n v="4.7619047620000003"/>
    <n v="3.7145000000000001"/>
    <n v="5"/>
  </r>
  <r>
    <s v="848-24-9445"/>
    <s v="C"/>
    <x v="1"/>
    <x v="0"/>
    <s v="Male"/>
    <x v="0"/>
    <n v="43.7"/>
    <n v="2"/>
    <n v="4.37"/>
    <n v="91.77"/>
    <x v="58"/>
    <d v="1899-12-30T18:03:00"/>
    <x v="1"/>
    <x v="195"/>
    <n v="4.7619047620000003"/>
    <n v="4.37"/>
    <n v="4.9000000000000004"/>
  </r>
  <r>
    <s v="856-22-8149"/>
    <s v="A"/>
    <x v="0"/>
    <x v="1"/>
    <s v="Female"/>
    <x v="2"/>
    <n v="25.29"/>
    <n v="1"/>
    <n v="1.2645"/>
    <n v="26.554500000000001"/>
    <x v="28"/>
    <d v="1899-12-30T10:13:00"/>
    <x v="0"/>
    <x v="196"/>
    <n v="4.7619047620000003"/>
    <n v="1.2645"/>
    <n v="6.1"/>
  </r>
  <r>
    <s v="699-01-4164"/>
    <s v="C"/>
    <x v="1"/>
    <x v="1"/>
    <s v="Male"/>
    <x v="0"/>
    <n v="41.5"/>
    <n v="4"/>
    <n v="8.3000000000000007"/>
    <n v="174.3"/>
    <x v="41"/>
    <d v="1899-12-30T19:58:00"/>
    <x v="2"/>
    <x v="197"/>
    <n v="4.7619047620000003"/>
    <n v="8.3000000000000007"/>
    <n v="8.1999999999999993"/>
  </r>
  <r>
    <s v="420-11-4919"/>
    <s v="C"/>
    <x v="1"/>
    <x v="0"/>
    <s v="Female"/>
    <x v="4"/>
    <n v="71.39"/>
    <n v="5"/>
    <n v="17.8475"/>
    <n v="374.79750000000001"/>
    <x v="21"/>
    <d v="1899-12-30T19:57:00"/>
    <x v="2"/>
    <x v="198"/>
    <n v="4.7619047620000003"/>
    <n v="17.8475"/>
    <n v="5.5"/>
  </r>
  <r>
    <s v="606-80-4905"/>
    <s v="C"/>
    <x v="1"/>
    <x v="0"/>
    <s v="Female"/>
    <x v="3"/>
    <n v="19.149999999999999"/>
    <n v="6"/>
    <n v="5.7450000000000001"/>
    <n v="120.645"/>
    <x v="71"/>
    <d v="1899-12-30T10:01:00"/>
    <x v="2"/>
    <x v="199"/>
    <n v="4.7619047620000003"/>
    <n v="5.7450000000000001"/>
    <n v="6.8"/>
  </r>
  <r>
    <s v="542-41-0513"/>
    <s v="B"/>
    <x v="2"/>
    <x v="0"/>
    <s v="Female"/>
    <x v="1"/>
    <n v="57.49"/>
    <n v="4"/>
    <n v="11.497999999999999"/>
    <n v="241.458"/>
    <x v="20"/>
    <d v="1899-12-30T11:57:00"/>
    <x v="1"/>
    <x v="200"/>
    <n v="4.7619047620000003"/>
    <n v="11.497999999999999"/>
    <n v="6.6"/>
  </r>
  <r>
    <s v="426-39-2418"/>
    <s v="C"/>
    <x v="1"/>
    <x v="1"/>
    <s v="Male"/>
    <x v="1"/>
    <n v="61.41"/>
    <n v="7"/>
    <n v="21.493500000000001"/>
    <n v="451.36349999999999"/>
    <x v="78"/>
    <d v="1899-12-30T10:02:00"/>
    <x v="1"/>
    <x v="201"/>
    <n v="4.7619047620000003"/>
    <n v="21.493500000000001"/>
    <n v="9.8000000000000007"/>
  </r>
  <r>
    <s v="875-46-5808"/>
    <s v="B"/>
    <x v="2"/>
    <x v="0"/>
    <s v="Male"/>
    <x v="0"/>
    <n v="25.9"/>
    <n v="10"/>
    <n v="12.95"/>
    <n v="271.95"/>
    <x v="10"/>
    <d v="1899-12-30T14:51:00"/>
    <x v="0"/>
    <x v="202"/>
    <n v="4.7619047620000003"/>
    <n v="12.95"/>
    <n v="8.6999999999999993"/>
  </r>
  <r>
    <s v="394-43-4238"/>
    <s v="B"/>
    <x v="2"/>
    <x v="0"/>
    <s v="Male"/>
    <x v="2"/>
    <n v="17.77"/>
    <n v="5"/>
    <n v="4.4424999999999999"/>
    <n v="93.292500000000004"/>
    <x v="42"/>
    <d v="1899-12-30T12:42:00"/>
    <x v="2"/>
    <x v="203"/>
    <n v="4.7619047620000003"/>
    <n v="4.4424999999999999"/>
    <n v="5.4"/>
  </r>
  <r>
    <s v="749-24-1565"/>
    <s v="A"/>
    <x v="0"/>
    <x v="1"/>
    <s v="Female"/>
    <x v="0"/>
    <n v="23.03"/>
    <n v="9"/>
    <n v="10.3635"/>
    <n v="217.6335"/>
    <x v="75"/>
    <d v="1899-12-30T12:02:00"/>
    <x v="0"/>
    <x v="204"/>
    <n v="4.7619047620000003"/>
    <n v="10.3635"/>
    <n v="7.9"/>
  </r>
  <r>
    <s v="672-51-8681"/>
    <s v="C"/>
    <x v="1"/>
    <x v="0"/>
    <s v="Female"/>
    <x v="1"/>
    <n v="66.650000000000006"/>
    <n v="9"/>
    <n v="29.9925"/>
    <n v="629.84249999999997"/>
    <x v="72"/>
    <d v="1899-12-30T18:19:00"/>
    <x v="2"/>
    <x v="205"/>
    <n v="4.7619047620000003"/>
    <n v="29.9925"/>
    <n v="9.6999999999999993"/>
  </r>
  <r>
    <s v="263-87-5680"/>
    <s v="C"/>
    <x v="1"/>
    <x v="0"/>
    <s v="Female"/>
    <x v="2"/>
    <n v="28.53"/>
    <n v="10"/>
    <n v="14.265000000000001"/>
    <n v="299.565"/>
    <x v="79"/>
    <d v="1899-12-30T17:38:00"/>
    <x v="0"/>
    <x v="206"/>
    <n v="4.7619047620000003"/>
    <n v="14.265000000000001"/>
    <n v="7.8"/>
  </r>
  <r>
    <s v="573-58-9734"/>
    <s v="B"/>
    <x v="2"/>
    <x v="1"/>
    <s v="Female"/>
    <x v="5"/>
    <n v="30.37"/>
    <n v="3"/>
    <n v="4.5555000000000003"/>
    <n v="95.665499999999994"/>
    <x v="61"/>
    <d v="1899-12-30T13:41:00"/>
    <x v="0"/>
    <x v="207"/>
    <n v="4.7619047620000003"/>
    <n v="4.5555000000000003"/>
    <n v="5.0999999999999996"/>
  </r>
  <r>
    <s v="817-69-8206"/>
    <s v="B"/>
    <x v="2"/>
    <x v="1"/>
    <s v="Female"/>
    <x v="1"/>
    <n v="99.73"/>
    <n v="9"/>
    <n v="44.878500000000003"/>
    <n v="942.44849999999997"/>
    <x v="22"/>
    <d v="1899-12-30T19:42:00"/>
    <x v="2"/>
    <x v="208"/>
    <n v="4.7619047620000003"/>
    <n v="44.878500000000003"/>
    <n v="6.5"/>
  </r>
  <r>
    <s v="888-02-0338"/>
    <s v="A"/>
    <x v="0"/>
    <x v="1"/>
    <s v="Male"/>
    <x v="1"/>
    <n v="26.23"/>
    <n v="9"/>
    <n v="11.8035"/>
    <n v="247.87350000000001"/>
    <x v="25"/>
    <d v="1899-12-30T20:24:00"/>
    <x v="0"/>
    <x v="209"/>
    <n v="4.7619047620000003"/>
    <n v="11.8035"/>
    <n v="5.9"/>
  </r>
  <r>
    <s v="677-11-0152"/>
    <s v="C"/>
    <x v="1"/>
    <x v="1"/>
    <s v="Female"/>
    <x v="4"/>
    <n v="93.26"/>
    <n v="9"/>
    <n v="41.966999999999999"/>
    <n v="881.30700000000002"/>
    <x v="65"/>
    <d v="1899-12-30T18:08:00"/>
    <x v="1"/>
    <x v="210"/>
    <n v="4.7619047620000003"/>
    <n v="41.966999999999999"/>
    <n v="8.8000000000000007"/>
  </r>
  <r>
    <s v="142-63-6033"/>
    <s v="B"/>
    <x v="2"/>
    <x v="1"/>
    <s v="Male"/>
    <x v="2"/>
    <n v="92.36"/>
    <n v="5"/>
    <n v="23.09"/>
    <n v="484.89"/>
    <x v="80"/>
    <d v="1899-12-30T19:17:00"/>
    <x v="0"/>
    <x v="211"/>
    <n v="4.7619047620000003"/>
    <n v="23.09"/>
    <n v="4.9000000000000004"/>
  </r>
  <r>
    <s v="656-16-1063"/>
    <s v="B"/>
    <x v="2"/>
    <x v="1"/>
    <s v="Male"/>
    <x v="3"/>
    <n v="46.42"/>
    <n v="3"/>
    <n v="6.9630000000000001"/>
    <n v="146.22300000000001"/>
    <x v="72"/>
    <d v="1899-12-30T13:24:00"/>
    <x v="2"/>
    <x v="212"/>
    <n v="4.7619047620000003"/>
    <n v="6.9630000000000001"/>
    <n v="4.4000000000000004"/>
  </r>
  <r>
    <s v="891-58-8335"/>
    <s v="B"/>
    <x v="2"/>
    <x v="0"/>
    <s v="Female"/>
    <x v="3"/>
    <n v="29.61"/>
    <n v="7"/>
    <n v="10.3635"/>
    <n v="217.6335"/>
    <x v="16"/>
    <d v="1899-12-30T15:53:00"/>
    <x v="1"/>
    <x v="204"/>
    <n v="4.7619047620000003"/>
    <n v="10.3635"/>
    <n v="6.5"/>
  </r>
  <r>
    <s v="802-43-8934"/>
    <s v="A"/>
    <x v="0"/>
    <x v="1"/>
    <s v="Male"/>
    <x v="2"/>
    <n v="18.28"/>
    <n v="1"/>
    <n v="0.91400000000000003"/>
    <n v="19.193999999999999"/>
    <x v="23"/>
    <d v="1899-12-30T15:05:00"/>
    <x v="2"/>
    <x v="213"/>
    <n v="4.7619047620000003"/>
    <n v="0.91400000000000003"/>
    <n v="8.3000000000000007"/>
  </r>
  <r>
    <s v="560-30-5617"/>
    <s v="B"/>
    <x v="2"/>
    <x v="1"/>
    <s v="Female"/>
    <x v="3"/>
    <n v="24.77"/>
    <n v="5"/>
    <n v="6.1924999999999999"/>
    <n v="130.04249999999999"/>
    <x v="62"/>
    <d v="1899-12-30T18:27:00"/>
    <x v="1"/>
    <x v="214"/>
    <n v="4.7619047620000003"/>
    <n v="6.1924999999999999"/>
    <n v="8.5"/>
  </r>
  <r>
    <s v="319-74-2561"/>
    <s v="A"/>
    <x v="0"/>
    <x v="0"/>
    <s v="Female"/>
    <x v="1"/>
    <n v="94.64"/>
    <n v="3"/>
    <n v="14.196"/>
    <n v="298.11599999999999"/>
    <x v="81"/>
    <d v="1899-12-30T16:55:00"/>
    <x v="1"/>
    <x v="215"/>
    <n v="4.7619047620000003"/>
    <n v="14.196"/>
    <n v="5.5"/>
  </r>
  <r>
    <s v="549-03-9315"/>
    <s v="B"/>
    <x v="2"/>
    <x v="1"/>
    <s v="Male"/>
    <x v="5"/>
    <n v="94.87"/>
    <n v="8"/>
    <n v="37.948"/>
    <n v="796.90800000000002"/>
    <x v="12"/>
    <d v="1899-12-30T12:58:00"/>
    <x v="0"/>
    <x v="216"/>
    <n v="4.7619047620000003"/>
    <n v="37.948"/>
    <n v="8.6999999999999993"/>
  </r>
  <r>
    <s v="790-29-1172"/>
    <s v="B"/>
    <x v="2"/>
    <x v="1"/>
    <s v="Female"/>
    <x v="4"/>
    <n v="57.34"/>
    <n v="3"/>
    <n v="8.6010000000000009"/>
    <n v="180.62100000000001"/>
    <x v="24"/>
    <d v="1899-12-30T18:59:00"/>
    <x v="2"/>
    <x v="217"/>
    <n v="4.7619047620000003"/>
    <n v="8.6010000000000009"/>
    <n v="7.9"/>
  </r>
  <r>
    <s v="239-36-3640"/>
    <s v="B"/>
    <x v="2"/>
    <x v="1"/>
    <s v="Male"/>
    <x v="1"/>
    <n v="45.35"/>
    <n v="6"/>
    <n v="13.605"/>
    <n v="285.70499999999998"/>
    <x v="82"/>
    <d v="1899-12-30T13:44:00"/>
    <x v="0"/>
    <x v="218"/>
    <n v="4.7619047620000003"/>
    <n v="13.605"/>
    <n v="6.1"/>
  </r>
  <r>
    <s v="468-01-2051"/>
    <s v="B"/>
    <x v="2"/>
    <x v="1"/>
    <s v="Male"/>
    <x v="4"/>
    <n v="62.08"/>
    <n v="7"/>
    <n v="21.728000000000002"/>
    <n v="456.28800000000001"/>
    <x v="43"/>
    <d v="1899-12-30T13:46:00"/>
    <x v="0"/>
    <x v="219"/>
    <n v="4.7619047620000003"/>
    <n v="21.728000000000002"/>
    <n v="5.4"/>
  </r>
  <r>
    <s v="389-25-3394"/>
    <s v="C"/>
    <x v="1"/>
    <x v="1"/>
    <s v="Male"/>
    <x v="1"/>
    <n v="11.81"/>
    <n v="5"/>
    <n v="2.9525000000000001"/>
    <n v="62.002499999999998"/>
    <x v="21"/>
    <d v="1899-12-30T18:06:00"/>
    <x v="1"/>
    <x v="220"/>
    <n v="4.7619047620000003"/>
    <n v="2.9525000000000001"/>
    <n v="9.4"/>
  </r>
  <r>
    <s v="279-62-1445"/>
    <s v="C"/>
    <x v="1"/>
    <x v="0"/>
    <s v="Female"/>
    <x v="5"/>
    <n v="12.54"/>
    <n v="1"/>
    <n v="0.627"/>
    <n v="13.167"/>
    <x v="81"/>
    <d v="1899-12-30T12:38:00"/>
    <x v="1"/>
    <x v="221"/>
    <n v="4.7619047620000003"/>
    <n v="0.627"/>
    <n v="8.1999999999999993"/>
  </r>
  <r>
    <s v="213-72-6612"/>
    <s v="A"/>
    <x v="0"/>
    <x v="1"/>
    <s v="Male"/>
    <x v="4"/>
    <n v="43.25"/>
    <n v="2"/>
    <n v="4.3250000000000002"/>
    <n v="90.825000000000003"/>
    <x v="80"/>
    <d v="1899-12-30T15:56:00"/>
    <x v="1"/>
    <x v="222"/>
    <n v="4.7619047620000003"/>
    <n v="4.3250000000000002"/>
    <n v="6.2"/>
  </r>
  <r>
    <s v="746-68-6593"/>
    <s v="C"/>
    <x v="1"/>
    <x v="0"/>
    <s v="Female"/>
    <x v="3"/>
    <n v="87.16"/>
    <n v="2"/>
    <n v="8.7159999999999993"/>
    <n v="183.036"/>
    <x v="83"/>
    <d v="1899-12-30T14:29:00"/>
    <x v="2"/>
    <x v="223"/>
    <n v="4.7619047620000003"/>
    <n v="8.7159999999999993"/>
    <n v="9.6999999999999993"/>
  </r>
  <r>
    <s v="836-82-5858"/>
    <s v="B"/>
    <x v="2"/>
    <x v="0"/>
    <s v="Male"/>
    <x v="0"/>
    <n v="69.37"/>
    <n v="9"/>
    <n v="31.2165"/>
    <n v="655.54650000000004"/>
    <x v="53"/>
    <d v="1899-12-30T19:14:00"/>
    <x v="0"/>
    <x v="224"/>
    <n v="4.7619047620000003"/>
    <n v="31.2165"/>
    <n v="4"/>
  </r>
  <r>
    <s v="583-72-1480"/>
    <s v="C"/>
    <x v="1"/>
    <x v="0"/>
    <s v="Male"/>
    <x v="1"/>
    <n v="37.06"/>
    <n v="4"/>
    <n v="7.4119999999999999"/>
    <n v="155.65199999999999"/>
    <x v="82"/>
    <d v="1899-12-30T16:24:00"/>
    <x v="0"/>
    <x v="225"/>
    <n v="4.7619047620000003"/>
    <n v="7.4119999999999999"/>
    <n v="9.6999999999999993"/>
  </r>
  <r>
    <s v="466-61-5506"/>
    <s v="B"/>
    <x v="2"/>
    <x v="0"/>
    <s v="Female"/>
    <x v="1"/>
    <n v="90.7"/>
    <n v="6"/>
    <n v="27.21"/>
    <n v="571.41"/>
    <x v="84"/>
    <d v="1899-12-30T10:52:00"/>
    <x v="1"/>
    <x v="226"/>
    <n v="4.7619047620000003"/>
    <n v="27.21"/>
    <n v="5.3"/>
  </r>
  <r>
    <s v="721-86-6247"/>
    <s v="A"/>
    <x v="0"/>
    <x v="1"/>
    <s v="Female"/>
    <x v="2"/>
    <n v="63.42"/>
    <n v="8"/>
    <n v="25.367999999999999"/>
    <n v="532.72799999999995"/>
    <x v="16"/>
    <d v="1899-12-30T12:55:00"/>
    <x v="0"/>
    <x v="227"/>
    <n v="4.7619047620000003"/>
    <n v="25.367999999999999"/>
    <n v="7.4"/>
  </r>
  <r>
    <s v="289-65-5721"/>
    <s v="B"/>
    <x v="2"/>
    <x v="1"/>
    <s v="Female"/>
    <x v="5"/>
    <n v="81.37"/>
    <n v="2"/>
    <n v="8.1370000000000005"/>
    <n v="170.87700000000001"/>
    <x v="53"/>
    <d v="1899-12-30T19:28:00"/>
    <x v="1"/>
    <x v="228"/>
    <n v="4.7619047620000003"/>
    <n v="8.1370000000000005"/>
    <n v="6.5"/>
  </r>
  <r>
    <s v="545-46-3100"/>
    <s v="B"/>
    <x v="2"/>
    <x v="0"/>
    <s v="Female"/>
    <x v="1"/>
    <n v="10.59"/>
    <n v="3"/>
    <n v="1.5885"/>
    <n v="33.358499999999999"/>
    <x v="41"/>
    <d v="1899-12-30T13:52:00"/>
    <x v="2"/>
    <x v="229"/>
    <n v="4.7619047620000003"/>
    <n v="1.5885"/>
    <n v="8.6999999999999993"/>
  </r>
  <r>
    <s v="418-02-5978"/>
    <s v="B"/>
    <x v="2"/>
    <x v="1"/>
    <s v="Female"/>
    <x v="0"/>
    <n v="84.09"/>
    <n v="9"/>
    <n v="37.840499999999999"/>
    <n v="794.65049999999997"/>
    <x v="48"/>
    <d v="1899-12-30T10:54:00"/>
    <x v="1"/>
    <x v="230"/>
    <n v="4.7619047620000003"/>
    <n v="37.840499999999999"/>
    <n v="8"/>
  </r>
  <r>
    <s v="269-04-5750"/>
    <s v="B"/>
    <x v="2"/>
    <x v="0"/>
    <s v="Male"/>
    <x v="5"/>
    <n v="73.819999999999993"/>
    <n v="4"/>
    <n v="14.763999999999999"/>
    <n v="310.04399999999998"/>
    <x v="81"/>
    <d v="1899-12-30T18:31:00"/>
    <x v="1"/>
    <x v="231"/>
    <n v="4.7619047620000003"/>
    <n v="14.763999999999999"/>
    <n v="6.7"/>
  </r>
  <r>
    <s v="157-13-5295"/>
    <s v="A"/>
    <x v="0"/>
    <x v="0"/>
    <s v="Male"/>
    <x v="0"/>
    <n v="51.94"/>
    <n v="10"/>
    <n v="25.97"/>
    <n v="545.37"/>
    <x v="11"/>
    <d v="1899-12-30T18:24:00"/>
    <x v="0"/>
    <x v="232"/>
    <n v="4.7619047620000003"/>
    <n v="25.97"/>
    <n v="6.5"/>
  </r>
  <r>
    <s v="645-78-8093"/>
    <s v="A"/>
    <x v="0"/>
    <x v="1"/>
    <s v="Female"/>
    <x v="3"/>
    <n v="93.14"/>
    <n v="2"/>
    <n v="9.3140000000000001"/>
    <n v="195.59399999999999"/>
    <x v="40"/>
    <d v="1899-12-30T18:09:00"/>
    <x v="0"/>
    <x v="233"/>
    <n v="4.7619047620000003"/>
    <n v="9.3140000000000001"/>
    <n v="4.0999999999999996"/>
  </r>
  <r>
    <s v="211-30-9270"/>
    <s v="C"/>
    <x v="1"/>
    <x v="1"/>
    <s v="Male"/>
    <x v="0"/>
    <n v="17.41"/>
    <n v="5"/>
    <n v="4.3525"/>
    <n v="91.402500000000003"/>
    <x v="26"/>
    <d v="1899-12-30T15:16:00"/>
    <x v="2"/>
    <x v="234"/>
    <n v="4.7619047620000003"/>
    <n v="4.3525"/>
    <n v="4.9000000000000004"/>
  </r>
  <r>
    <s v="755-12-3214"/>
    <s v="C"/>
    <x v="1"/>
    <x v="0"/>
    <s v="Female"/>
    <x v="5"/>
    <n v="44.22"/>
    <n v="5"/>
    <n v="11.055"/>
    <n v="232.155"/>
    <x v="19"/>
    <d v="1899-12-30T17:07:00"/>
    <x v="2"/>
    <x v="235"/>
    <n v="4.7619047620000003"/>
    <n v="11.055"/>
    <n v="8.6"/>
  </r>
  <r>
    <s v="346-84-3103"/>
    <s v="B"/>
    <x v="2"/>
    <x v="0"/>
    <s v="Female"/>
    <x v="1"/>
    <n v="13.22"/>
    <n v="5"/>
    <n v="3.3050000000000002"/>
    <n v="69.405000000000001"/>
    <x v="22"/>
    <d v="1899-12-30T19:26:00"/>
    <x v="1"/>
    <x v="236"/>
    <n v="4.7619047620000003"/>
    <n v="3.3050000000000002"/>
    <n v="4.3"/>
  </r>
  <r>
    <s v="478-06-7835"/>
    <s v="A"/>
    <x v="0"/>
    <x v="1"/>
    <s v="Male"/>
    <x v="5"/>
    <n v="89.69"/>
    <n v="1"/>
    <n v="4.4844999999999997"/>
    <n v="94.174499999999995"/>
    <x v="83"/>
    <d v="1899-12-30T11:20:00"/>
    <x v="0"/>
    <x v="237"/>
    <n v="4.7619047620000003"/>
    <n v="4.4844999999999997"/>
    <n v="4.9000000000000004"/>
  </r>
  <r>
    <s v="540-11-4336"/>
    <s v="A"/>
    <x v="0"/>
    <x v="1"/>
    <s v="Male"/>
    <x v="4"/>
    <n v="24.94"/>
    <n v="9"/>
    <n v="11.223000000000001"/>
    <n v="235.68299999999999"/>
    <x v="83"/>
    <d v="1899-12-30T16:49:00"/>
    <x v="2"/>
    <x v="238"/>
    <n v="4.7619047620000003"/>
    <n v="11.223000000000001"/>
    <n v="5.6"/>
  </r>
  <r>
    <s v="448-81-5016"/>
    <s v="A"/>
    <x v="0"/>
    <x v="1"/>
    <s v="Male"/>
    <x v="0"/>
    <n v="59.77"/>
    <n v="2"/>
    <n v="5.9770000000000003"/>
    <n v="125.517"/>
    <x v="16"/>
    <d v="1899-12-30T12:01:00"/>
    <x v="2"/>
    <x v="239"/>
    <n v="4.7619047620000003"/>
    <n v="5.9770000000000003"/>
    <n v="5.8"/>
  </r>
  <r>
    <s v="142-72-4741"/>
    <s v="C"/>
    <x v="1"/>
    <x v="0"/>
    <s v="Male"/>
    <x v="5"/>
    <n v="93.2"/>
    <n v="2"/>
    <n v="9.32"/>
    <n v="195.72"/>
    <x v="38"/>
    <d v="1899-12-30T18:37:00"/>
    <x v="2"/>
    <x v="240"/>
    <n v="4.7619047620000003"/>
    <n v="9.32"/>
    <n v="6"/>
  </r>
  <r>
    <s v="217-58-1179"/>
    <s v="A"/>
    <x v="0"/>
    <x v="0"/>
    <s v="Male"/>
    <x v="2"/>
    <n v="62.65"/>
    <n v="4"/>
    <n v="12.53"/>
    <n v="263.13"/>
    <x v="0"/>
    <d v="1899-12-30T11:25:00"/>
    <x v="1"/>
    <x v="241"/>
    <n v="4.7619047620000003"/>
    <n v="12.53"/>
    <n v="4.2"/>
  </r>
  <r>
    <s v="376-02-8238"/>
    <s v="B"/>
    <x v="2"/>
    <x v="1"/>
    <s v="Male"/>
    <x v="2"/>
    <n v="93.87"/>
    <n v="8"/>
    <n v="37.548000000000002"/>
    <n v="788.50800000000004"/>
    <x v="30"/>
    <d v="1899-12-30T18:42:00"/>
    <x v="2"/>
    <x v="242"/>
    <n v="4.7619047620000003"/>
    <n v="37.548000000000002"/>
    <n v="8.3000000000000007"/>
  </r>
  <r>
    <s v="530-90-9855"/>
    <s v="A"/>
    <x v="0"/>
    <x v="0"/>
    <s v="Male"/>
    <x v="2"/>
    <n v="47.59"/>
    <n v="8"/>
    <n v="19.036000000000001"/>
    <n v="399.75599999999997"/>
    <x v="17"/>
    <d v="1899-12-30T14:47:00"/>
    <x v="1"/>
    <x v="243"/>
    <n v="4.7619047620000003"/>
    <n v="19.036000000000001"/>
    <n v="5.7"/>
  </r>
  <r>
    <s v="866-05-7563"/>
    <s v="B"/>
    <x v="2"/>
    <x v="0"/>
    <s v="Female"/>
    <x v="1"/>
    <n v="81.400000000000006"/>
    <n v="3"/>
    <n v="12.21"/>
    <n v="256.41000000000003"/>
    <x v="57"/>
    <d v="1899-12-30T19:43:00"/>
    <x v="1"/>
    <x v="244"/>
    <n v="4.7619047620000003"/>
    <n v="12.21"/>
    <n v="4.8"/>
  </r>
  <r>
    <s v="604-70-6476"/>
    <s v="A"/>
    <x v="0"/>
    <x v="0"/>
    <s v="Male"/>
    <x v="5"/>
    <n v="17.940000000000001"/>
    <n v="5"/>
    <n v="4.4850000000000003"/>
    <n v="94.185000000000002"/>
    <x v="54"/>
    <d v="1899-12-30T14:04:00"/>
    <x v="0"/>
    <x v="245"/>
    <n v="4.7619047620000003"/>
    <n v="4.4850000000000003"/>
    <n v="6.8"/>
  </r>
  <r>
    <s v="799-71-1548"/>
    <s v="A"/>
    <x v="0"/>
    <x v="0"/>
    <s v="Male"/>
    <x v="1"/>
    <n v="77.72"/>
    <n v="4"/>
    <n v="15.544"/>
    <n v="326.42399999999998"/>
    <x v="27"/>
    <d v="1899-12-30T16:11:00"/>
    <x v="2"/>
    <x v="246"/>
    <n v="4.7619047620000003"/>
    <n v="15.544"/>
    <n v="8.8000000000000007"/>
  </r>
  <r>
    <s v="785-13-7708"/>
    <s v="B"/>
    <x v="2"/>
    <x v="1"/>
    <s v="Male"/>
    <x v="4"/>
    <n v="73.06"/>
    <n v="7"/>
    <n v="25.571000000000002"/>
    <n v="536.99099999999999"/>
    <x v="78"/>
    <d v="1899-12-30T19:06:00"/>
    <x v="2"/>
    <x v="247"/>
    <n v="4.7619047620000003"/>
    <n v="25.571000000000002"/>
    <n v="4.2"/>
  </r>
  <r>
    <s v="845-51-0542"/>
    <s v="B"/>
    <x v="2"/>
    <x v="0"/>
    <s v="Male"/>
    <x v="4"/>
    <n v="46.55"/>
    <n v="9"/>
    <n v="20.947500000000002"/>
    <n v="439.89749999999998"/>
    <x v="30"/>
    <d v="1899-12-30T15:34:00"/>
    <x v="0"/>
    <x v="248"/>
    <n v="4.7619047620000003"/>
    <n v="20.947500000000002"/>
    <n v="6.4"/>
  </r>
  <r>
    <s v="662-47-5456"/>
    <s v="C"/>
    <x v="1"/>
    <x v="0"/>
    <s v="Male"/>
    <x v="5"/>
    <n v="35.19"/>
    <n v="10"/>
    <n v="17.594999999999999"/>
    <n v="369.495"/>
    <x v="85"/>
    <d v="1899-12-30T19:06:00"/>
    <x v="2"/>
    <x v="249"/>
    <n v="4.7619047620000003"/>
    <n v="17.594999999999999"/>
    <n v="8.4"/>
  </r>
  <r>
    <s v="883-17-4236"/>
    <s v="C"/>
    <x v="1"/>
    <x v="1"/>
    <s v="Female"/>
    <x v="3"/>
    <n v="14.39"/>
    <n v="2"/>
    <n v="1.4390000000000001"/>
    <n v="30.219000000000001"/>
    <x v="22"/>
    <d v="1899-12-30T19:44:00"/>
    <x v="2"/>
    <x v="250"/>
    <n v="4.7619047620000003"/>
    <n v="1.4390000000000001"/>
    <n v="7.2"/>
  </r>
  <r>
    <s v="290-68-2984"/>
    <s v="A"/>
    <x v="0"/>
    <x v="1"/>
    <s v="Male"/>
    <x v="2"/>
    <n v="23.75"/>
    <n v="4"/>
    <n v="4.75"/>
    <n v="99.75"/>
    <x v="32"/>
    <d v="1899-12-30T11:22:00"/>
    <x v="1"/>
    <x v="251"/>
    <n v="4.7619047620000003"/>
    <n v="4.75"/>
    <n v="5.2"/>
  </r>
  <r>
    <s v="704-11-6354"/>
    <s v="A"/>
    <x v="0"/>
    <x v="0"/>
    <s v="Male"/>
    <x v="2"/>
    <n v="58.9"/>
    <n v="8"/>
    <n v="23.56"/>
    <n v="494.76"/>
    <x v="47"/>
    <d v="1899-12-30T11:23:00"/>
    <x v="1"/>
    <x v="252"/>
    <n v="4.7619047620000003"/>
    <n v="23.56"/>
    <n v="8.9"/>
  </r>
  <r>
    <s v="110-48-7033"/>
    <s v="B"/>
    <x v="2"/>
    <x v="0"/>
    <s v="Male"/>
    <x v="5"/>
    <n v="32.619999999999997"/>
    <n v="4"/>
    <n v="6.524"/>
    <n v="137.00399999999999"/>
    <x v="71"/>
    <d v="1899-12-30T14:12:00"/>
    <x v="1"/>
    <x v="253"/>
    <n v="4.7619047620000003"/>
    <n v="6.524"/>
    <n v="9"/>
  </r>
  <r>
    <s v="366-93-0948"/>
    <s v="A"/>
    <x v="0"/>
    <x v="0"/>
    <s v="Male"/>
    <x v="1"/>
    <n v="66.349999999999994"/>
    <n v="1"/>
    <n v="3.3174999999999999"/>
    <n v="69.667500000000004"/>
    <x v="82"/>
    <d v="1899-12-30T10:46:00"/>
    <x v="2"/>
    <x v="254"/>
    <n v="4.7619047620000003"/>
    <n v="3.3174999999999999"/>
    <n v="9.6999999999999993"/>
  </r>
  <r>
    <s v="729-09-9681"/>
    <s v="A"/>
    <x v="0"/>
    <x v="0"/>
    <s v="Male"/>
    <x v="2"/>
    <n v="25.91"/>
    <n v="6"/>
    <n v="7.7729999999999997"/>
    <n v="163.233"/>
    <x v="63"/>
    <d v="1899-12-30T10:16:00"/>
    <x v="0"/>
    <x v="255"/>
    <n v="4.7619047620000003"/>
    <n v="7.7729999999999997"/>
    <n v="8.6999999999999993"/>
  </r>
  <r>
    <s v="151-16-1484"/>
    <s v="A"/>
    <x v="0"/>
    <x v="0"/>
    <s v="Male"/>
    <x v="1"/>
    <n v="32.25"/>
    <n v="4"/>
    <n v="6.45"/>
    <n v="135.44999999999999"/>
    <x v="77"/>
    <d v="1899-12-30T12:38:00"/>
    <x v="0"/>
    <x v="256"/>
    <n v="4.7619047620000003"/>
    <n v="6.45"/>
    <n v="6.5"/>
  </r>
  <r>
    <s v="380-94-4661"/>
    <s v="C"/>
    <x v="1"/>
    <x v="0"/>
    <s v="Male"/>
    <x v="1"/>
    <n v="65.94"/>
    <n v="4"/>
    <n v="13.188000000000001"/>
    <n v="276.94799999999998"/>
    <x v="13"/>
    <d v="1899-12-30T13:05:00"/>
    <x v="2"/>
    <x v="257"/>
    <n v="4.7619047620000003"/>
    <n v="13.188000000000001"/>
    <n v="6.9"/>
  </r>
  <r>
    <s v="850-41-9669"/>
    <s v="A"/>
    <x v="0"/>
    <x v="1"/>
    <s v="Female"/>
    <x v="1"/>
    <n v="75.06"/>
    <n v="9"/>
    <n v="33.777000000000001"/>
    <n v="709.31700000000001"/>
    <x v="35"/>
    <d v="1899-12-30T13:25:00"/>
    <x v="0"/>
    <x v="258"/>
    <n v="4.7619047620000003"/>
    <n v="33.777000000000001"/>
    <n v="6.2"/>
  </r>
  <r>
    <s v="821-07-3596"/>
    <s v="C"/>
    <x v="1"/>
    <x v="1"/>
    <s v="Female"/>
    <x v="5"/>
    <n v="16.45"/>
    <n v="4"/>
    <n v="3.29"/>
    <n v="69.09"/>
    <x v="37"/>
    <d v="1899-12-30T14:53:00"/>
    <x v="0"/>
    <x v="259"/>
    <n v="4.7619047620000003"/>
    <n v="3.29"/>
    <n v="5.6"/>
  </r>
  <r>
    <s v="655-85-5130"/>
    <s v="B"/>
    <x v="2"/>
    <x v="0"/>
    <s v="Female"/>
    <x v="5"/>
    <n v="38.299999999999997"/>
    <n v="4"/>
    <n v="7.66"/>
    <n v="160.86000000000001"/>
    <x v="45"/>
    <d v="1899-12-30T19:22:00"/>
    <x v="1"/>
    <x v="260"/>
    <n v="4.7619047620000003"/>
    <n v="7.66"/>
    <n v="5.7"/>
  </r>
  <r>
    <s v="447-15-7839"/>
    <s v="A"/>
    <x v="0"/>
    <x v="0"/>
    <s v="Female"/>
    <x v="3"/>
    <n v="22.24"/>
    <n v="10"/>
    <n v="11.12"/>
    <n v="233.52"/>
    <x v="57"/>
    <d v="1899-12-30T11:00:00"/>
    <x v="1"/>
    <x v="261"/>
    <n v="4.7619047620000003"/>
    <n v="11.12"/>
    <n v="4.2"/>
  </r>
  <r>
    <s v="154-74-7179"/>
    <s v="B"/>
    <x v="2"/>
    <x v="1"/>
    <s v="Male"/>
    <x v="3"/>
    <n v="54.45"/>
    <n v="1"/>
    <n v="2.7225000000000001"/>
    <n v="57.172499999999999"/>
    <x v="84"/>
    <d v="1899-12-30T19:24:00"/>
    <x v="0"/>
    <x v="262"/>
    <n v="4.7619047620000003"/>
    <n v="2.7225000000000001"/>
    <n v="7.9"/>
  </r>
  <r>
    <s v="253-12-6086"/>
    <s v="A"/>
    <x v="0"/>
    <x v="0"/>
    <s v="Female"/>
    <x v="3"/>
    <n v="98.4"/>
    <n v="7"/>
    <n v="34.44"/>
    <n v="723.24"/>
    <x v="41"/>
    <d v="1899-12-30T12:43:00"/>
    <x v="2"/>
    <x v="263"/>
    <n v="4.7619047620000003"/>
    <n v="34.44"/>
    <n v="8.6999999999999993"/>
  </r>
  <r>
    <s v="808-65-0703"/>
    <s v="C"/>
    <x v="1"/>
    <x v="1"/>
    <s v="Male"/>
    <x v="2"/>
    <n v="35.47"/>
    <n v="4"/>
    <n v="7.0940000000000003"/>
    <n v="148.97399999999999"/>
    <x v="86"/>
    <d v="1899-12-30T17:22:00"/>
    <x v="2"/>
    <x v="264"/>
    <n v="4.7619047620000003"/>
    <n v="7.0940000000000003"/>
    <n v="6.9"/>
  </r>
  <r>
    <s v="571-94-0759"/>
    <s v="B"/>
    <x v="2"/>
    <x v="0"/>
    <s v="Female"/>
    <x v="4"/>
    <n v="74.599999999999994"/>
    <n v="10"/>
    <n v="37.299999999999997"/>
    <n v="783.3"/>
    <x v="66"/>
    <d v="1899-12-30T20:55:00"/>
    <x v="1"/>
    <x v="265"/>
    <n v="4.7619047620000003"/>
    <n v="37.299999999999997"/>
    <n v="9.5"/>
  </r>
  <r>
    <s v="144-51-6085"/>
    <s v="A"/>
    <x v="0"/>
    <x v="0"/>
    <s v="Male"/>
    <x v="2"/>
    <n v="70.739999999999995"/>
    <n v="4"/>
    <n v="14.148"/>
    <n v="297.108"/>
    <x v="0"/>
    <d v="1899-12-30T16:05:00"/>
    <x v="2"/>
    <x v="266"/>
    <n v="4.7619047620000003"/>
    <n v="14.148"/>
    <n v="4.4000000000000004"/>
  </r>
  <r>
    <s v="731-14-2199"/>
    <s v="A"/>
    <x v="0"/>
    <x v="0"/>
    <s v="Female"/>
    <x v="2"/>
    <n v="35.54"/>
    <n v="10"/>
    <n v="17.77"/>
    <n v="373.17"/>
    <x v="72"/>
    <d v="1899-12-30T13:34:00"/>
    <x v="0"/>
    <x v="267"/>
    <n v="4.7619047620000003"/>
    <n v="17.77"/>
    <n v="7"/>
  </r>
  <r>
    <s v="783-09-1637"/>
    <s v="B"/>
    <x v="2"/>
    <x v="1"/>
    <s v="Female"/>
    <x v="3"/>
    <n v="67.430000000000007"/>
    <n v="5"/>
    <n v="16.857500000000002"/>
    <n v="354.00749999999999"/>
    <x v="43"/>
    <d v="1899-12-30T18:13:00"/>
    <x v="0"/>
    <x v="268"/>
    <n v="4.7619047620000003"/>
    <n v="16.857500000000002"/>
    <n v="6.3"/>
  </r>
  <r>
    <s v="687-15-1097"/>
    <s v="C"/>
    <x v="1"/>
    <x v="0"/>
    <s v="Female"/>
    <x v="0"/>
    <n v="21.12"/>
    <n v="2"/>
    <n v="2.1120000000000001"/>
    <n v="44.351999999999997"/>
    <x v="75"/>
    <d v="1899-12-30T19:17:00"/>
    <x v="1"/>
    <x v="269"/>
    <n v="4.7619047620000003"/>
    <n v="2.1120000000000001"/>
    <n v="9.6999999999999993"/>
  </r>
  <r>
    <s v="126-54-1082"/>
    <s v="A"/>
    <x v="0"/>
    <x v="0"/>
    <s v="Female"/>
    <x v="2"/>
    <n v="21.54"/>
    <n v="9"/>
    <n v="9.6929999999999996"/>
    <n v="203.553"/>
    <x v="27"/>
    <d v="1899-12-30T11:44:00"/>
    <x v="2"/>
    <x v="270"/>
    <n v="4.7619047620000003"/>
    <n v="9.6929999999999996"/>
    <n v="8.8000000000000007"/>
  </r>
  <r>
    <s v="633-91-1052"/>
    <s v="A"/>
    <x v="0"/>
    <x v="1"/>
    <s v="Female"/>
    <x v="2"/>
    <n v="12.03"/>
    <n v="2"/>
    <n v="1.2030000000000001"/>
    <n v="25.263000000000002"/>
    <x v="3"/>
    <d v="1899-12-30T15:51:00"/>
    <x v="1"/>
    <x v="271"/>
    <n v="4.7619047620000003"/>
    <n v="1.2030000000000001"/>
    <n v="5.0999999999999996"/>
  </r>
  <r>
    <s v="477-24-6490"/>
    <s v="B"/>
    <x v="2"/>
    <x v="1"/>
    <s v="Female"/>
    <x v="0"/>
    <n v="99.71"/>
    <n v="6"/>
    <n v="29.913"/>
    <n v="628.173"/>
    <x v="84"/>
    <d v="1899-12-30T16:52:00"/>
    <x v="0"/>
    <x v="272"/>
    <n v="4.7619047620000003"/>
    <n v="29.913"/>
    <n v="7.9"/>
  </r>
  <r>
    <s v="566-19-5475"/>
    <s v="B"/>
    <x v="2"/>
    <x v="1"/>
    <s v="Male"/>
    <x v="5"/>
    <n v="47.97"/>
    <n v="7"/>
    <n v="16.7895"/>
    <n v="352.5795"/>
    <x v="27"/>
    <d v="1899-12-30T20:52:00"/>
    <x v="1"/>
    <x v="273"/>
    <n v="4.7619047620000003"/>
    <n v="16.7895"/>
    <n v="6.2"/>
  </r>
  <r>
    <s v="526-86-8552"/>
    <s v="C"/>
    <x v="1"/>
    <x v="0"/>
    <s v="Female"/>
    <x v="2"/>
    <n v="21.82"/>
    <n v="10"/>
    <n v="10.91"/>
    <n v="229.11"/>
    <x v="27"/>
    <d v="1899-12-30T17:36:00"/>
    <x v="1"/>
    <x v="274"/>
    <n v="4.7619047620000003"/>
    <n v="10.91"/>
    <n v="7.1"/>
  </r>
  <r>
    <s v="376-56-3573"/>
    <s v="C"/>
    <x v="1"/>
    <x v="1"/>
    <s v="Female"/>
    <x v="5"/>
    <n v="95.42"/>
    <n v="4"/>
    <n v="19.084"/>
    <n v="400.76400000000001"/>
    <x v="30"/>
    <d v="1899-12-30T13:23:00"/>
    <x v="0"/>
    <x v="275"/>
    <n v="4.7619047620000003"/>
    <n v="19.084"/>
    <n v="6.4"/>
  </r>
  <r>
    <s v="537-72-0426"/>
    <s v="C"/>
    <x v="1"/>
    <x v="0"/>
    <s v="Male"/>
    <x v="5"/>
    <n v="70.989999999999995"/>
    <n v="10"/>
    <n v="35.494999999999997"/>
    <n v="745.39499999999998"/>
    <x v="80"/>
    <d v="1899-12-30T16:28:00"/>
    <x v="1"/>
    <x v="276"/>
    <n v="4.7619047620000003"/>
    <n v="35.494999999999997"/>
    <n v="5.7"/>
  </r>
  <r>
    <s v="828-61-5674"/>
    <s v="A"/>
    <x v="0"/>
    <x v="0"/>
    <s v="Male"/>
    <x v="3"/>
    <n v="44.02"/>
    <n v="10"/>
    <n v="22.01"/>
    <n v="462.21"/>
    <x v="80"/>
    <d v="1899-12-30T19:57:00"/>
    <x v="2"/>
    <x v="277"/>
    <n v="4.7619047620000003"/>
    <n v="22.01"/>
    <n v="9.6"/>
  </r>
  <r>
    <s v="136-08-6195"/>
    <s v="A"/>
    <x v="0"/>
    <x v="1"/>
    <s v="Female"/>
    <x v="2"/>
    <n v="69.959999999999994"/>
    <n v="8"/>
    <n v="27.984000000000002"/>
    <n v="587.66399999999999"/>
    <x v="42"/>
    <d v="1899-12-30T17:01:00"/>
    <x v="2"/>
    <x v="278"/>
    <n v="4.7619047620000003"/>
    <n v="27.984000000000002"/>
    <n v="6.4"/>
  </r>
  <r>
    <s v="523-38-0215"/>
    <s v="C"/>
    <x v="1"/>
    <x v="1"/>
    <s v="Male"/>
    <x v="2"/>
    <n v="37"/>
    <n v="1"/>
    <n v="1.85"/>
    <n v="38.85"/>
    <x v="43"/>
    <d v="1899-12-30T13:29:00"/>
    <x v="2"/>
    <x v="279"/>
    <n v="4.7619047620000003"/>
    <n v="1.85"/>
    <n v="7.9"/>
  </r>
  <r>
    <s v="490-29-1201"/>
    <s v="A"/>
    <x v="0"/>
    <x v="1"/>
    <s v="Female"/>
    <x v="3"/>
    <n v="15.34"/>
    <n v="1"/>
    <n v="0.76700000000000002"/>
    <n v="16.106999999999999"/>
    <x v="47"/>
    <d v="1899-12-30T11:09:00"/>
    <x v="1"/>
    <x v="280"/>
    <n v="4.7619047620000003"/>
    <n v="0.76700000000000002"/>
    <n v="6.5"/>
  </r>
  <r>
    <s v="667-92-0055"/>
    <s v="A"/>
    <x v="0"/>
    <x v="0"/>
    <s v="Male"/>
    <x v="0"/>
    <n v="99.83"/>
    <n v="6"/>
    <n v="29.949000000000002"/>
    <n v="628.92899999999997"/>
    <x v="31"/>
    <d v="1899-12-30T15:02:00"/>
    <x v="0"/>
    <x v="281"/>
    <n v="4.7619047620000003"/>
    <n v="29.949000000000002"/>
    <n v="8.5"/>
  </r>
  <r>
    <s v="565-17-3836"/>
    <s v="A"/>
    <x v="0"/>
    <x v="0"/>
    <s v="Female"/>
    <x v="0"/>
    <n v="47.67"/>
    <n v="4"/>
    <n v="9.5340000000000007"/>
    <n v="200.214"/>
    <x v="41"/>
    <d v="1899-12-30T14:21:00"/>
    <x v="1"/>
    <x v="282"/>
    <n v="4.7619047620000003"/>
    <n v="9.5340000000000007"/>
    <n v="9.1"/>
  </r>
  <r>
    <s v="498-41-1961"/>
    <s v="B"/>
    <x v="2"/>
    <x v="1"/>
    <s v="Male"/>
    <x v="0"/>
    <n v="66.680000000000007"/>
    <n v="5"/>
    <n v="16.670000000000002"/>
    <n v="350.07"/>
    <x v="9"/>
    <d v="1899-12-30T18:01:00"/>
    <x v="1"/>
    <x v="283"/>
    <n v="4.7619047620000003"/>
    <n v="16.670000000000002"/>
    <n v="7.6"/>
  </r>
  <r>
    <s v="593-95-4461"/>
    <s v="C"/>
    <x v="1"/>
    <x v="0"/>
    <s v="Male"/>
    <x v="2"/>
    <n v="74.86"/>
    <n v="1"/>
    <n v="3.7429999999999999"/>
    <n v="78.602999999999994"/>
    <x v="62"/>
    <d v="1899-12-30T14:49:00"/>
    <x v="1"/>
    <x v="284"/>
    <n v="4.7619047620000003"/>
    <n v="3.7429999999999999"/>
    <n v="6.9"/>
  </r>
  <r>
    <s v="226-71-3580"/>
    <s v="C"/>
    <x v="1"/>
    <x v="1"/>
    <s v="Female"/>
    <x v="3"/>
    <n v="23.75"/>
    <n v="9"/>
    <n v="10.6875"/>
    <n v="224.4375"/>
    <x v="82"/>
    <d v="1899-12-30T12:02:00"/>
    <x v="1"/>
    <x v="285"/>
    <n v="4.7619047620000003"/>
    <n v="10.6875"/>
    <n v="9.5"/>
  </r>
  <r>
    <s v="283-79-9594"/>
    <s v="B"/>
    <x v="2"/>
    <x v="1"/>
    <s v="Female"/>
    <x v="4"/>
    <n v="48.51"/>
    <n v="7"/>
    <n v="16.9785"/>
    <n v="356.54849999999999"/>
    <x v="25"/>
    <d v="1899-12-30T13:30:00"/>
    <x v="2"/>
    <x v="286"/>
    <n v="4.7619047620000003"/>
    <n v="16.9785"/>
    <n v="5.2"/>
  </r>
  <r>
    <s v="430-60-3493"/>
    <s v="A"/>
    <x v="0"/>
    <x v="0"/>
    <s v="Female"/>
    <x v="2"/>
    <n v="94.88"/>
    <n v="7"/>
    <n v="33.207999999999998"/>
    <n v="697.36800000000005"/>
    <x v="36"/>
    <d v="1899-12-30T14:38:00"/>
    <x v="1"/>
    <x v="287"/>
    <n v="4.7619047620000003"/>
    <n v="33.207999999999998"/>
    <n v="4.2"/>
  </r>
  <r>
    <s v="139-20-0155"/>
    <s v="B"/>
    <x v="2"/>
    <x v="0"/>
    <s v="Male"/>
    <x v="1"/>
    <n v="40.299999999999997"/>
    <n v="10"/>
    <n v="20.149999999999999"/>
    <n v="423.15"/>
    <x v="46"/>
    <d v="1899-12-30T17:37:00"/>
    <x v="2"/>
    <x v="288"/>
    <n v="4.7619047620000003"/>
    <n v="20.149999999999999"/>
    <n v="7"/>
  </r>
  <r>
    <s v="558-80-4082"/>
    <s v="C"/>
    <x v="1"/>
    <x v="1"/>
    <s v="Male"/>
    <x v="1"/>
    <n v="27.85"/>
    <n v="7"/>
    <n v="9.7475000000000005"/>
    <n v="204.69749999999999"/>
    <x v="86"/>
    <d v="1899-12-30T17:20:00"/>
    <x v="0"/>
    <x v="289"/>
    <n v="4.7619047620000003"/>
    <n v="9.7475000000000005"/>
    <n v="6"/>
  </r>
  <r>
    <s v="278-97-7759"/>
    <s v="A"/>
    <x v="0"/>
    <x v="0"/>
    <s v="Female"/>
    <x v="1"/>
    <n v="62.48"/>
    <n v="1"/>
    <n v="3.1240000000000001"/>
    <n v="65.603999999999999"/>
    <x v="67"/>
    <d v="1899-12-30T20:29:00"/>
    <x v="1"/>
    <x v="290"/>
    <n v="4.7619047620000003"/>
    <n v="3.1240000000000001"/>
    <n v="4.7"/>
  </r>
  <r>
    <s v="316-68-6352"/>
    <s v="A"/>
    <x v="0"/>
    <x v="0"/>
    <s v="Female"/>
    <x v="4"/>
    <n v="36.36"/>
    <n v="2"/>
    <n v="3.6360000000000001"/>
    <n v="76.355999999999995"/>
    <x v="18"/>
    <d v="1899-12-30T10:00:00"/>
    <x v="1"/>
    <x v="291"/>
    <n v="4.7619047620000003"/>
    <n v="3.6360000000000001"/>
    <n v="7.1"/>
  </r>
  <r>
    <s v="585-03-5943"/>
    <s v="B"/>
    <x v="2"/>
    <x v="1"/>
    <s v="Male"/>
    <x v="0"/>
    <n v="18.11"/>
    <n v="10"/>
    <n v="9.0549999999999997"/>
    <n v="190.155"/>
    <x v="45"/>
    <d v="1899-12-30T11:46:00"/>
    <x v="0"/>
    <x v="292"/>
    <n v="4.7619047620000003"/>
    <n v="9.0549999999999997"/>
    <n v="5.9"/>
  </r>
  <r>
    <s v="211-05-0490"/>
    <s v="C"/>
    <x v="1"/>
    <x v="0"/>
    <s v="Female"/>
    <x v="1"/>
    <n v="51.92"/>
    <n v="5"/>
    <n v="12.98"/>
    <n v="272.58"/>
    <x v="2"/>
    <d v="1899-12-30T13:42:00"/>
    <x v="1"/>
    <x v="293"/>
    <n v="4.7619047620000003"/>
    <n v="12.98"/>
    <n v="7.5"/>
  </r>
  <r>
    <s v="727-75-6477"/>
    <s v="C"/>
    <x v="1"/>
    <x v="1"/>
    <s v="Male"/>
    <x v="1"/>
    <n v="28.84"/>
    <n v="4"/>
    <n v="5.7679999999999998"/>
    <n v="121.128"/>
    <x v="14"/>
    <d v="1899-12-30T14:44:00"/>
    <x v="1"/>
    <x v="294"/>
    <n v="4.7619047620000003"/>
    <n v="5.7679999999999998"/>
    <n v="6.4"/>
  </r>
  <r>
    <s v="744-02-5987"/>
    <s v="A"/>
    <x v="0"/>
    <x v="0"/>
    <s v="Male"/>
    <x v="2"/>
    <n v="78.38"/>
    <n v="6"/>
    <n v="23.513999999999999"/>
    <n v="493.79399999999998"/>
    <x v="8"/>
    <d v="1899-12-30T14:16:00"/>
    <x v="0"/>
    <x v="295"/>
    <n v="4.7619047620000003"/>
    <n v="23.513999999999999"/>
    <n v="5.8"/>
  </r>
  <r>
    <s v="307-83-9164"/>
    <s v="A"/>
    <x v="0"/>
    <x v="0"/>
    <s v="Male"/>
    <x v="2"/>
    <n v="60.01"/>
    <n v="4"/>
    <n v="12.002000000000001"/>
    <n v="252.042"/>
    <x v="25"/>
    <d v="1899-12-30T15:54:00"/>
    <x v="1"/>
    <x v="296"/>
    <n v="4.7619047620000003"/>
    <n v="12.002000000000001"/>
    <n v="4.5"/>
  </r>
  <r>
    <s v="779-06-0012"/>
    <s v="C"/>
    <x v="1"/>
    <x v="0"/>
    <s v="Female"/>
    <x v="2"/>
    <n v="88.61"/>
    <n v="1"/>
    <n v="4.4305000000000003"/>
    <n v="93.040499999999994"/>
    <x v="64"/>
    <d v="1899-12-30T10:21:00"/>
    <x v="1"/>
    <x v="297"/>
    <n v="4.7619047620000003"/>
    <n v="4.4305000000000003"/>
    <n v="7.7"/>
  </r>
  <r>
    <s v="446-47-6729"/>
    <s v="C"/>
    <x v="1"/>
    <x v="1"/>
    <s v="Male"/>
    <x v="5"/>
    <n v="99.82"/>
    <n v="2"/>
    <n v="9.9819999999999993"/>
    <n v="209.62200000000001"/>
    <x v="56"/>
    <d v="1899-12-30T18:09:00"/>
    <x v="2"/>
    <x v="298"/>
    <n v="4.7619047620000003"/>
    <n v="9.9819999999999993"/>
    <n v="6.7"/>
  </r>
  <r>
    <s v="573-10-3877"/>
    <s v="B"/>
    <x v="2"/>
    <x v="0"/>
    <s v="Male"/>
    <x v="0"/>
    <n v="39.01"/>
    <n v="1"/>
    <n v="1.9504999999999999"/>
    <n v="40.960500000000003"/>
    <x v="41"/>
    <d v="1899-12-30T16:46:00"/>
    <x v="2"/>
    <x v="299"/>
    <n v="4.7619047620000003"/>
    <n v="1.9504999999999999"/>
    <n v="4.7"/>
  </r>
  <r>
    <s v="735-06-4124"/>
    <s v="C"/>
    <x v="1"/>
    <x v="1"/>
    <s v="Male"/>
    <x v="4"/>
    <n v="48.61"/>
    <n v="1"/>
    <n v="2.4304999999999999"/>
    <n v="51.040500000000002"/>
    <x v="6"/>
    <d v="1899-12-30T15:31:00"/>
    <x v="1"/>
    <x v="300"/>
    <n v="4.7619047620000003"/>
    <n v="2.4304999999999999"/>
    <n v="4.4000000000000004"/>
  </r>
  <r>
    <s v="439-54-7422"/>
    <s v="A"/>
    <x v="0"/>
    <x v="1"/>
    <s v="Female"/>
    <x v="1"/>
    <n v="51.19"/>
    <n v="4"/>
    <n v="10.238"/>
    <n v="214.99799999999999"/>
    <x v="79"/>
    <d v="1899-12-30T17:15:00"/>
    <x v="2"/>
    <x v="301"/>
    <n v="4.7619047620000003"/>
    <n v="10.238"/>
    <n v="4.7"/>
  </r>
  <r>
    <s v="396-90-2219"/>
    <s v="B"/>
    <x v="2"/>
    <x v="1"/>
    <s v="Female"/>
    <x v="1"/>
    <n v="14.96"/>
    <n v="8"/>
    <n v="5.984"/>
    <n v="125.664"/>
    <x v="55"/>
    <d v="1899-12-30T12:29:00"/>
    <x v="1"/>
    <x v="302"/>
    <n v="4.7619047620000003"/>
    <n v="5.984"/>
    <n v="8.6"/>
  </r>
  <r>
    <s v="411-77-0180"/>
    <s v="A"/>
    <x v="0"/>
    <x v="0"/>
    <s v="Male"/>
    <x v="1"/>
    <n v="72.2"/>
    <n v="7"/>
    <n v="25.27"/>
    <n v="530.66999999999996"/>
    <x v="58"/>
    <d v="1899-12-30T20:14:00"/>
    <x v="0"/>
    <x v="303"/>
    <n v="4.7619047620000003"/>
    <n v="25.27"/>
    <n v="4.3"/>
  </r>
  <r>
    <s v="286-01-5402"/>
    <s v="A"/>
    <x v="0"/>
    <x v="1"/>
    <s v="Female"/>
    <x v="3"/>
    <n v="40.229999999999997"/>
    <n v="7"/>
    <n v="14.080500000000001"/>
    <n v="295.69049999999999"/>
    <x v="73"/>
    <d v="1899-12-30T13:22:00"/>
    <x v="1"/>
    <x v="304"/>
    <n v="4.7619047620000003"/>
    <n v="14.080500000000001"/>
    <n v="9.6"/>
  </r>
  <r>
    <s v="803-17-8013"/>
    <s v="A"/>
    <x v="0"/>
    <x v="0"/>
    <s v="Female"/>
    <x v="2"/>
    <n v="88.79"/>
    <n v="8"/>
    <n v="35.515999999999998"/>
    <n v="745.83600000000001"/>
    <x v="21"/>
    <d v="1899-12-30T17:09:00"/>
    <x v="1"/>
    <x v="305"/>
    <n v="4.7619047620000003"/>
    <n v="35.515999999999998"/>
    <n v="4.0999999999999996"/>
  </r>
  <r>
    <s v="512-98-1403"/>
    <s v="A"/>
    <x v="0"/>
    <x v="0"/>
    <s v="Female"/>
    <x v="1"/>
    <n v="26.48"/>
    <n v="3"/>
    <n v="3.972"/>
    <n v="83.412000000000006"/>
    <x v="76"/>
    <d v="1899-12-30T10:40:00"/>
    <x v="0"/>
    <x v="306"/>
    <n v="4.7619047620000003"/>
    <n v="3.972"/>
    <n v="4.7"/>
  </r>
  <r>
    <s v="848-42-2560"/>
    <s v="A"/>
    <x v="0"/>
    <x v="1"/>
    <s v="Female"/>
    <x v="5"/>
    <n v="81.91"/>
    <n v="2"/>
    <n v="8.1910000000000007"/>
    <n v="172.011"/>
    <x v="19"/>
    <d v="1899-12-30T17:43:00"/>
    <x v="1"/>
    <x v="307"/>
    <n v="4.7619047620000003"/>
    <n v="8.1910000000000007"/>
    <n v="7.8"/>
  </r>
  <r>
    <s v="532-59-7201"/>
    <s v="B"/>
    <x v="2"/>
    <x v="0"/>
    <s v="Male"/>
    <x v="3"/>
    <n v="79.930000000000007"/>
    <n v="6"/>
    <n v="23.978999999999999"/>
    <n v="503.55900000000003"/>
    <x v="82"/>
    <d v="1899-12-30T14:04:00"/>
    <x v="1"/>
    <x v="308"/>
    <n v="4.7619047620000003"/>
    <n v="23.978999999999999"/>
    <n v="5.5"/>
  </r>
  <r>
    <s v="181-94-6432"/>
    <s v="C"/>
    <x v="1"/>
    <x v="0"/>
    <s v="Male"/>
    <x v="5"/>
    <n v="69.33"/>
    <n v="2"/>
    <n v="6.9329999999999998"/>
    <n v="145.59299999999999"/>
    <x v="63"/>
    <d v="1899-12-30T19:05:00"/>
    <x v="0"/>
    <x v="309"/>
    <n v="4.7619047620000003"/>
    <n v="6.9329999999999998"/>
    <n v="9.6999999999999993"/>
  </r>
  <r>
    <s v="870-76-1733"/>
    <s v="A"/>
    <x v="0"/>
    <x v="0"/>
    <s v="Female"/>
    <x v="4"/>
    <n v="14.23"/>
    <n v="5"/>
    <n v="3.5575000000000001"/>
    <n v="74.707499999999996"/>
    <x v="60"/>
    <d v="1899-12-30T10:08:00"/>
    <x v="2"/>
    <x v="310"/>
    <n v="4.7619047620000003"/>
    <n v="3.5575000000000001"/>
    <n v="4.4000000000000004"/>
  </r>
  <r>
    <s v="423-64-4619"/>
    <s v="A"/>
    <x v="0"/>
    <x v="0"/>
    <s v="Female"/>
    <x v="0"/>
    <n v="15.55"/>
    <n v="9"/>
    <n v="6.9974999999999996"/>
    <n v="146.94749999999999"/>
    <x v="37"/>
    <d v="1899-12-30T13:12:00"/>
    <x v="1"/>
    <x v="311"/>
    <n v="4.7619047620000003"/>
    <n v="6.9974999999999996"/>
    <n v="5"/>
  </r>
  <r>
    <s v="227-07-4446"/>
    <s v="C"/>
    <x v="1"/>
    <x v="0"/>
    <s v="Female"/>
    <x v="1"/>
    <n v="78.13"/>
    <n v="10"/>
    <n v="39.064999999999998"/>
    <n v="820.36500000000001"/>
    <x v="34"/>
    <d v="1899-12-30T20:51:00"/>
    <x v="1"/>
    <x v="312"/>
    <n v="4.7619047620000003"/>
    <n v="39.064999999999998"/>
    <n v="4.4000000000000004"/>
  </r>
  <r>
    <s v="174-36-3675"/>
    <s v="C"/>
    <x v="1"/>
    <x v="0"/>
    <s v="Male"/>
    <x v="4"/>
    <n v="99.37"/>
    <n v="2"/>
    <n v="9.9369999999999994"/>
    <n v="208.67699999999999"/>
    <x v="44"/>
    <d v="1899-12-30T17:29:00"/>
    <x v="1"/>
    <x v="313"/>
    <n v="4.7619047620000003"/>
    <n v="9.9369999999999994"/>
    <n v="5.2"/>
  </r>
  <r>
    <s v="428-83-5800"/>
    <s v="C"/>
    <x v="1"/>
    <x v="0"/>
    <s v="Female"/>
    <x v="4"/>
    <n v="21.08"/>
    <n v="3"/>
    <n v="3.1619999999999999"/>
    <n v="66.402000000000001"/>
    <x v="57"/>
    <d v="1899-12-30T10:25:00"/>
    <x v="1"/>
    <x v="314"/>
    <n v="4.7619047620000003"/>
    <n v="3.1619999999999999"/>
    <n v="7.3"/>
  </r>
  <r>
    <s v="603-07-0961"/>
    <s v="C"/>
    <x v="1"/>
    <x v="0"/>
    <s v="Male"/>
    <x v="1"/>
    <n v="74.790000000000006"/>
    <n v="5"/>
    <n v="18.697500000000002"/>
    <n v="392.64749999999998"/>
    <x v="8"/>
    <d v="1899-12-30T11:34:00"/>
    <x v="1"/>
    <x v="315"/>
    <n v="4.7619047620000003"/>
    <n v="18.697500000000002"/>
    <n v="4.9000000000000004"/>
  </r>
  <r>
    <s v="704-20-4138"/>
    <s v="C"/>
    <x v="1"/>
    <x v="0"/>
    <s v="Female"/>
    <x v="0"/>
    <n v="29.67"/>
    <n v="7"/>
    <n v="10.384499999999999"/>
    <n v="218.0745"/>
    <x v="16"/>
    <d v="1899-12-30T18:58:00"/>
    <x v="2"/>
    <x v="316"/>
    <n v="4.7619047620000003"/>
    <n v="10.384499999999999"/>
    <n v="8.1"/>
  </r>
  <r>
    <s v="787-15-1757"/>
    <s v="C"/>
    <x v="1"/>
    <x v="0"/>
    <s v="Male"/>
    <x v="0"/>
    <n v="44.07"/>
    <n v="4"/>
    <n v="8.8140000000000001"/>
    <n v="185.09399999999999"/>
    <x v="67"/>
    <d v="1899-12-30T16:28:00"/>
    <x v="0"/>
    <x v="317"/>
    <n v="4.7619047620000003"/>
    <n v="8.8140000000000001"/>
    <n v="8.4"/>
  </r>
  <r>
    <s v="649-11-3678"/>
    <s v="C"/>
    <x v="1"/>
    <x v="1"/>
    <s v="Female"/>
    <x v="4"/>
    <n v="22.93"/>
    <n v="9"/>
    <n v="10.3185"/>
    <n v="216.6885"/>
    <x v="84"/>
    <d v="1899-12-30T20:26:00"/>
    <x v="1"/>
    <x v="318"/>
    <n v="4.7619047620000003"/>
    <n v="10.3185"/>
    <n v="5.5"/>
  </r>
  <r>
    <s v="622-20-1945"/>
    <s v="C"/>
    <x v="1"/>
    <x v="1"/>
    <s v="Female"/>
    <x v="0"/>
    <n v="39.42"/>
    <n v="1"/>
    <n v="1.9710000000000001"/>
    <n v="41.390999999999998"/>
    <x v="68"/>
    <d v="1899-12-30T15:08:00"/>
    <x v="1"/>
    <x v="319"/>
    <n v="4.7619047620000003"/>
    <n v="1.9710000000000001"/>
    <n v="8.4"/>
  </r>
  <r>
    <s v="372-94-8041"/>
    <s v="A"/>
    <x v="0"/>
    <x v="1"/>
    <s v="Male"/>
    <x v="0"/>
    <n v="15.26"/>
    <n v="6"/>
    <n v="4.5780000000000003"/>
    <n v="96.138000000000005"/>
    <x v="42"/>
    <d v="1899-12-30T18:03:00"/>
    <x v="0"/>
    <x v="320"/>
    <n v="4.7619047620000003"/>
    <n v="4.5780000000000003"/>
    <n v="9.8000000000000007"/>
  </r>
  <r>
    <s v="563-91-7120"/>
    <s v="A"/>
    <x v="0"/>
    <x v="1"/>
    <s v="Female"/>
    <x v="5"/>
    <n v="61.77"/>
    <n v="5"/>
    <n v="15.442500000000001"/>
    <n v="324.29250000000002"/>
    <x v="1"/>
    <d v="1899-12-30T13:21:00"/>
    <x v="1"/>
    <x v="321"/>
    <n v="4.7619047620000003"/>
    <n v="15.442500000000001"/>
    <n v="6.7"/>
  </r>
  <r>
    <s v="746-54-5508"/>
    <s v="A"/>
    <x v="0"/>
    <x v="1"/>
    <s v="Male"/>
    <x v="2"/>
    <n v="21.52"/>
    <n v="6"/>
    <n v="6.4560000000000004"/>
    <n v="135.57599999999999"/>
    <x v="29"/>
    <d v="1899-12-30T12:48:00"/>
    <x v="2"/>
    <x v="322"/>
    <n v="4.7619047620000003"/>
    <n v="6.4560000000000004"/>
    <n v="9.4"/>
  </r>
  <r>
    <s v="276-54-0879"/>
    <s v="B"/>
    <x v="2"/>
    <x v="1"/>
    <s v="Male"/>
    <x v="3"/>
    <n v="97.74"/>
    <n v="4"/>
    <n v="19.547999999999998"/>
    <n v="410.50799999999998"/>
    <x v="41"/>
    <d v="1899-12-30T19:53:00"/>
    <x v="0"/>
    <x v="323"/>
    <n v="4.7619047620000003"/>
    <n v="19.547999999999998"/>
    <n v="6.4"/>
  </r>
  <r>
    <s v="815-11-1168"/>
    <s v="A"/>
    <x v="0"/>
    <x v="0"/>
    <s v="Male"/>
    <x v="4"/>
    <n v="99.78"/>
    <n v="5"/>
    <n v="24.945"/>
    <n v="523.84500000000003"/>
    <x v="11"/>
    <d v="1899-12-30T19:09:00"/>
    <x v="1"/>
    <x v="324"/>
    <n v="4.7619047620000003"/>
    <n v="24.945"/>
    <n v="5.4"/>
  </r>
  <r>
    <s v="719-76-3868"/>
    <s v="C"/>
    <x v="1"/>
    <x v="0"/>
    <s v="Male"/>
    <x v="4"/>
    <n v="94.26"/>
    <n v="4"/>
    <n v="18.852"/>
    <n v="395.892"/>
    <x v="41"/>
    <d v="1899-12-30T16:30:00"/>
    <x v="1"/>
    <x v="325"/>
    <n v="4.7619047620000003"/>
    <n v="18.852"/>
    <n v="8.6"/>
  </r>
  <r>
    <s v="730-61-8757"/>
    <s v="B"/>
    <x v="2"/>
    <x v="0"/>
    <s v="Male"/>
    <x v="0"/>
    <n v="51.13"/>
    <n v="4"/>
    <n v="10.226000000000001"/>
    <n v="214.74600000000001"/>
    <x v="25"/>
    <d v="1899-12-30T10:11:00"/>
    <x v="2"/>
    <x v="326"/>
    <n v="4.7619047620000003"/>
    <n v="10.226000000000001"/>
    <n v="4"/>
  </r>
  <r>
    <s v="340-66-0321"/>
    <s v="A"/>
    <x v="0"/>
    <x v="0"/>
    <s v="Male"/>
    <x v="1"/>
    <n v="36.36"/>
    <n v="4"/>
    <n v="7.2720000000000002"/>
    <n v="152.71199999999999"/>
    <x v="5"/>
    <d v="1899-12-30T13:07:00"/>
    <x v="1"/>
    <x v="327"/>
    <n v="4.7619047620000003"/>
    <n v="7.2720000000000002"/>
    <n v="7.6"/>
  </r>
  <r>
    <s v="868-81-1752"/>
    <s v="B"/>
    <x v="2"/>
    <x v="1"/>
    <s v="Male"/>
    <x v="2"/>
    <n v="22.02"/>
    <n v="9"/>
    <n v="9.9090000000000007"/>
    <n v="208.089"/>
    <x v="13"/>
    <d v="1899-12-30T18:48:00"/>
    <x v="1"/>
    <x v="328"/>
    <n v="4.7619047620000003"/>
    <n v="9.9090000000000007"/>
    <n v="6.8"/>
  </r>
  <r>
    <s v="634-97-8956"/>
    <s v="A"/>
    <x v="0"/>
    <x v="1"/>
    <s v="Male"/>
    <x v="4"/>
    <n v="32.9"/>
    <n v="3"/>
    <n v="4.9349999999999996"/>
    <n v="103.63500000000001"/>
    <x v="21"/>
    <d v="1899-12-30T17:27:00"/>
    <x v="2"/>
    <x v="329"/>
    <n v="4.7619047620000003"/>
    <n v="4.9349999999999996"/>
    <n v="9.1"/>
  </r>
  <r>
    <s v="566-71-1091"/>
    <s v="A"/>
    <x v="0"/>
    <x v="1"/>
    <s v="Male"/>
    <x v="5"/>
    <n v="77.02"/>
    <n v="5"/>
    <n v="19.254999999999999"/>
    <n v="404.35500000000002"/>
    <x v="36"/>
    <d v="1899-12-30T15:59:00"/>
    <x v="1"/>
    <x v="330"/>
    <n v="4.7619047620000003"/>
    <n v="19.254999999999999"/>
    <n v="5.5"/>
  </r>
  <r>
    <s v="442-48-3607"/>
    <s v="A"/>
    <x v="0"/>
    <x v="0"/>
    <s v="Male"/>
    <x v="4"/>
    <n v="23.48"/>
    <n v="2"/>
    <n v="2.3479999999999999"/>
    <n v="49.308"/>
    <x v="86"/>
    <d v="1899-12-30T11:21:00"/>
    <x v="2"/>
    <x v="331"/>
    <n v="4.7619047620000003"/>
    <n v="2.3479999999999999"/>
    <n v="7.9"/>
  </r>
  <r>
    <s v="835-16-0096"/>
    <s v="C"/>
    <x v="1"/>
    <x v="0"/>
    <s v="Male"/>
    <x v="3"/>
    <n v="14.7"/>
    <n v="5"/>
    <n v="3.6749999999999998"/>
    <n v="77.174999999999997"/>
    <x v="62"/>
    <d v="1899-12-30T13:48:00"/>
    <x v="0"/>
    <x v="332"/>
    <n v="4.7619047620000003"/>
    <n v="3.6749999999999998"/>
    <n v="8.5"/>
  </r>
  <r>
    <s v="527-09-6272"/>
    <s v="A"/>
    <x v="0"/>
    <x v="0"/>
    <s v="Female"/>
    <x v="1"/>
    <n v="28.45"/>
    <n v="5"/>
    <n v="7.1124999999999998"/>
    <n v="149.36250000000001"/>
    <x v="76"/>
    <d v="1899-12-30T10:17:00"/>
    <x v="2"/>
    <x v="333"/>
    <n v="4.7619047620000003"/>
    <n v="7.1124999999999998"/>
    <n v="9.1"/>
  </r>
  <r>
    <s v="898-04-2717"/>
    <s v="A"/>
    <x v="0"/>
    <x v="1"/>
    <s v="Male"/>
    <x v="5"/>
    <n v="76.400000000000006"/>
    <n v="9"/>
    <n v="34.380000000000003"/>
    <n v="721.98"/>
    <x v="35"/>
    <d v="1899-12-30T15:49:00"/>
    <x v="0"/>
    <x v="334"/>
    <n v="4.7619047620000003"/>
    <n v="34.380000000000003"/>
    <n v="7.5"/>
  </r>
  <r>
    <s v="692-27-8933"/>
    <s v="B"/>
    <x v="2"/>
    <x v="1"/>
    <s v="Female"/>
    <x v="3"/>
    <n v="57.95"/>
    <n v="6"/>
    <n v="17.385000000000002"/>
    <n v="365.08499999999998"/>
    <x v="7"/>
    <d v="1899-12-30T13:02:00"/>
    <x v="1"/>
    <x v="335"/>
    <n v="4.7619047620000003"/>
    <n v="17.385000000000002"/>
    <n v="5.2"/>
  </r>
  <r>
    <s v="633-09-3463"/>
    <s v="C"/>
    <x v="1"/>
    <x v="1"/>
    <s v="Female"/>
    <x v="1"/>
    <n v="47.65"/>
    <n v="3"/>
    <n v="7.1475"/>
    <n v="150.0975"/>
    <x v="61"/>
    <d v="1899-12-30T12:58:00"/>
    <x v="2"/>
    <x v="336"/>
    <n v="4.7619047620000003"/>
    <n v="7.1475"/>
    <n v="9.5"/>
  </r>
  <r>
    <s v="374-17-3652"/>
    <s v="B"/>
    <x v="2"/>
    <x v="0"/>
    <s v="Female"/>
    <x v="4"/>
    <n v="42.82"/>
    <n v="9"/>
    <n v="19.268999999999998"/>
    <n v="404.649"/>
    <x v="63"/>
    <d v="1899-12-30T15:26:00"/>
    <x v="2"/>
    <x v="337"/>
    <n v="4.7619047620000003"/>
    <n v="19.268999999999998"/>
    <n v="8.9"/>
  </r>
  <r>
    <s v="378-07-7001"/>
    <s v="B"/>
    <x v="2"/>
    <x v="0"/>
    <s v="Male"/>
    <x v="1"/>
    <n v="48.09"/>
    <n v="3"/>
    <n v="7.2134999999999998"/>
    <n v="151.48349999999999"/>
    <x v="34"/>
    <d v="1899-12-30T18:23:00"/>
    <x v="2"/>
    <x v="338"/>
    <n v="4.7619047620000003"/>
    <n v="7.2134999999999998"/>
    <n v="7.8"/>
  </r>
  <r>
    <s v="433-75-6987"/>
    <s v="B"/>
    <x v="2"/>
    <x v="0"/>
    <s v="Female"/>
    <x v="0"/>
    <n v="55.97"/>
    <n v="7"/>
    <n v="19.589500000000001"/>
    <n v="411.37950000000001"/>
    <x v="19"/>
    <d v="1899-12-30T19:06:00"/>
    <x v="0"/>
    <x v="339"/>
    <n v="4.7619047620000003"/>
    <n v="19.589500000000001"/>
    <n v="8.9"/>
  </r>
  <r>
    <s v="873-95-4984"/>
    <s v="B"/>
    <x v="2"/>
    <x v="0"/>
    <s v="Female"/>
    <x v="0"/>
    <n v="76.900000000000006"/>
    <n v="7"/>
    <n v="26.914999999999999"/>
    <n v="565.21500000000003"/>
    <x v="42"/>
    <d v="1899-12-30T20:21:00"/>
    <x v="1"/>
    <x v="340"/>
    <n v="4.7619047620000003"/>
    <n v="26.914999999999999"/>
    <n v="7.7"/>
  </r>
  <r>
    <s v="416-13-5917"/>
    <s v="C"/>
    <x v="1"/>
    <x v="1"/>
    <s v="Female"/>
    <x v="4"/>
    <n v="97.03"/>
    <n v="5"/>
    <n v="24.2575"/>
    <n v="509.40750000000003"/>
    <x v="74"/>
    <d v="1899-12-30T16:24:00"/>
    <x v="0"/>
    <x v="341"/>
    <n v="4.7619047620000003"/>
    <n v="24.2575"/>
    <n v="9.3000000000000007"/>
  </r>
  <r>
    <s v="150-89-8043"/>
    <s v="A"/>
    <x v="0"/>
    <x v="1"/>
    <s v="Male"/>
    <x v="3"/>
    <n v="44.65"/>
    <n v="3"/>
    <n v="6.6974999999999998"/>
    <n v="140.64750000000001"/>
    <x v="44"/>
    <d v="1899-12-30T15:04:00"/>
    <x v="1"/>
    <x v="342"/>
    <n v="4.7619047620000003"/>
    <n v="6.6974999999999998"/>
    <n v="6.2"/>
  </r>
  <r>
    <s v="135-84-8019"/>
    <s v="A"/>
    <x v="0"/>
    <x v="1"/>
    <s v="Female"/>
    <x v="5"/>
    <n v="77.930000000000007"/>
    <n v="9"/>
    <n v="35.0685"/>
    <n v="736.43849999999998"/>
    <x v="33"/>
    <d v="1899-12-30T16:10:00"/>
    <x v="0"/>
    <x v="343"/>
    <n v="4.7619047620000003"/>
    <n v="35.0685"/>
    <n v="7.6"/>
  </r>
  <r>
    <s v="441-94-7118"/>
    <s v="A"/>
    <x v="0"/>
    <x v="0"/>
    <s v="Male"/>
    <x v="1"/>
    <n v="71.95"/>
    <n v="1"/>
    <n v="3.5975000000000001"/>
    <n v="75.547499999999999"/>
    <x v="87"/>
    <d v="1899-12-30T12:14:00"/>
    <x v="1"/>
    <x v="344"/>
    <n v="4.7619047620000003"/>
    <n v="3.5975000000000001"/>
    <n v="7.3"/>
  </r>
  <r>
    <s v="725-96-3778"/>
    <s v="C"/>
    <x v="1"/>
    <x v="0"/>
    <s v="Female"/>
    <x v="2"/>
    <n v="89.25"/>
    <n v="8"/>
    <n v="35.700000000000003"/>
    <n v="749.7"/>
    <x v="40"/>
    <d v="1899-12-30T10:13:00"/>
    <x v="1"/>
    <x v="345"/>
    <n v="4.7619047620000003"/>
    <n v="35.700000000000003"/>
    <n v="4.7"/>
  </r>
  <r>
    <s v="531-80-1784"/>
    <s v="A"/>
    <x v="0"/>
    <x v="1"/>
    <s v="Male"/>
    <x v="1"/>
    <n v="26.02"/>
    <n v="7"/>
    <n v="9.1069999999999993"/>
    <n v="191.24700000000001"/>
    <x v="61"/>
    <d v="1899-12-30T17:38:00"/>
    <x v="1"/>
    <x v="346"/>
    <n v="4.7619047620000003"/>
    <n v="9.1069999999999993"/>
    <n v="5.0999999999999996"/>
  </r>
  <r>
    <s v="400-45-1220"/>
    <s v="B"/>
    <x v="2"/>
    <x v="1"/>
    <s v="Female"/>
    <x v="0"/>
    <n v="13.5"/>
    <n v="10"/>
    <n v="6.75"/>
    <n v="141.75"/>
    <x v="33"/>
    <d v="1899-12-30T11:06:00"/>
    <x v="2"/>
    <x v="347"/>
    <n v="4.7619047620000003"/>
    <n v="6.75"/>
    <n v="4.8"/>
  </r>
  <r>
    <s v="860-79-0874"/>
    <s v="C"/>
    <x v="1"/>
    <x v="0"/>
    <s v="Female"/>
    <x v="5"/>
    <n v="99.3"/>
    <n v="10"/>
    <n v="49.65"/>
    <n v="1042.6500000000001"/>
    <x v="42"/>
    <d v="1899-12-30T14:53:00"/>
    <x v="2"/>
    <x v="348"/>
    <n v="4.7619047620000003"/>
    <n v="49.65"/>
    <n v="6.6"/>
  </r>
  <r>
    <s v="834-61-8124"/>
    <s v="A"/>
    <x v="0"/>
    <x v="1"/>
    <s v="Male"/>
    <x v="1"/>
    <n v="51.69"/>
    <n v="7"/>
    <n v="18.0915"/>
    <n v="379.92149999999998"/>
    <x v="53"/>
    <d v="1899-12-30T18:22:00"/>
    <x v="1"/>
    <x v="349"/>
    <n v="4.7619047620000003"/>
    <n v="18.0915"/>
    <n v="5.5"/>
  </r>
  <r>
    <s v="115-99-4379"/>
    <s v="B"/>
    <x v="2"/>
    <x v="0"/>
    <s v="Female"/>
    <x v="5"/>
    <n v="54.73"/>
    <n v="7"/>
    <n v="19.1555"/>
    <n v="402.26549999999997"/>
    <x v="86"/>
    <d v="1899-12-30T19:02:00"/>
    <x v="2"/>
    <x v="350"/>
    <n v="4.7619047620000003"/>
    <n v="19.1555"/>
    <n v="8.5"/>
  </r>
  <r>
    <s v="565-67-6697"/>
    <s v="B"/>
    <x v="2"/>
    <x v="0"/>
    <s v="Male"/>
    <x v="2"/>
    <n v="27"/>
    <n v="9"/>
    <n v="12.15"/>
    <n v="255.15"/>
    <x v="22"/>
    <d v="1899-12-30T14:16:00"/>
    <x v="1"/>
    <x v="351"/>
    <n v="4.7619047620000003"/>
    <n v="12.15"/>
    <n v="4.8"/>
  </r>
  <r>
    <s v="320-49-6392"/>
    <s v="C"/>
    <x v="1"/>
    <x v="1"/>
    <s v="Female"/>
    <x v="1"/>
    <n v="30.24"/>
    <n v="1"/>
    <n v="1.512"/>
    <n v="31.751999999999999"/>
    <x v="31"/>
    <d v="1899-12-30T15:44:00"/>
    <x v="1"/>
    <x v="352"/>
    <n v="4.7619047620000003"/>
    <n v="1.512"/>
    <n v="8.4"/>
  </r>
  <r>
    <s v="889-04-9723"/>
    <s v="B"/>
    <x v="2"/>
    <x v="0"/>
    <s v="Female"/>
    <x v="4"/>
    <n v="89.14"/>
    <n v="4"/>
    <n v="17.827999999999999"/>
    <n v="374.38799999999998"/>
    <x v="27"/>
    <d v="1899-12-30T12:20:00"/>
    <x v="2"/>
    <x v="353"/>
    <n v="4.7619047620000003"/>
    <n v="17.827999999999999"/>
    <n v="7.8"/>
  </r>
  <r>
    <s v="632-90-0281"/>
    <s v="C"/>
    <x v="1"/>
    <x v="1"/>
    <s v="Female"/>
    <x v="5"/>
    <n v="37.549999999999997"/>
    <n v="10"/>
    <n v="18.774999999999999"/>
    <n v="394.27499999999998"/>
    <x v="1"/>
    <d v="1899-12-30T20:01:00"/>
    <x v="2"/>
    <x v="354"/>
    <n v="4.7619047620000003"/>
    <n v="18.774999999999999"/>
    <n v="9.3000000000000007"/>
  </r>
  <r>
    <s v="554-42-2417"/>
    <s v="C"/>
    <x v="1"/>
    <x v="1"/>
    <s v="Female"/>
    <x v="3"/>
    <n v="95.44"/>
    <n v="10"/>
    <n v="47.72"/>
    <n v="1002.12"/>
    <x v="51"/>
    <d v="1899-12-30T13:45:00"/>
    <x v="1"/>
    <x v="355"/>
    <n v="4.7619047620000003"/>
    <n v="47.72"/>
    <n v="5.2"/>
  </r>
  <r>
    <s v="453-63-6187"/>
    <s v="B"/>
    <x v="2"/>
    <x v="1"/>
    <s v="Male"/>
    <x v="1"/>
    <n v="27.5"/>
    <n v="3"/>
    <n v="4.125"/>
    <n v="86.625"/>
    <x v="59"/>
    <d v="1899-12-30T15:40:00"/>
    <x v="0"/>
    <x v="356"/>
    <n v="4.7619047620000003"/>
    <n v="4.125"/>
    <n v="6.5"/>
  </r>
  <r>
    <s v="578-80-7669"/>
    <s v="B"/>
    <x v="2"/>
    <x v="1"/>
    <s v="Male"/>
    <x v="3"/>
    <n v="74.97"/>
    <n v="1"/>
    <n v="3.7484999999999999"/>
    <n v="78.718500000000006"/>
    <x v="32"/>
    <d v="1899-12-30T16:58:00"/>
    <x v="1"/>
    <x v="357"/>
    <n v="4.7619047620000003"/>
    <n v="3.7484999999999999"/>
    <n v="5.6"/>
  </r>
  <r>
    <s v="612-36-5536"/>
    <s v="A"/>
    <x v="0"/>
    <x v="0"/>
    <s v="Male"/>
    <x v="4"/>
    <n v="80.959999999999994"/>
    <n v="8"/>
    <n v="32.384"/>
    <n v="680.06399999999996"/>
    <x v="21"/>
    <d v="1899-12-30T11:12:00"/>
    <x v="2"/>
    <x v="358"/>
    <n v="4.7619047620000003"/>
    <n v="32.384"/>
    <n v="7.4"/>
  </r>
  <r>
    <s v="605-72-4132"/>
    <s v="C"/>
    <x v="1"/>
    <x v="1"/>
    <s v="Female"/>
    <x v="4"/>
    <n v="94.47"/>
    <n v="8"/>
    <n v="37.787999999999997"/>
    <n v="793.548"/>
    <x v="33"/>
    <d v="1899-12-30T15:12:00"/>
    <x v="1"/>
    <x v="359"/>
    <n v="4.7619047620000003"/>
    <n v="37.787999999999997"/>
    <n v="9.1"/>
  </r>
  <r>
    <s v="471-41-2823"/>
    <s v="C"/>
    <x v="1"/>
    <x v="1"/>
    <s v="Male"/>
    <x v="4"/>
    <n v="99.79"/>
    <n v="2"/>
    <n v="9.9789999999999992"/>
    <n v="209.559"/>
    <x v="37"/>
    <d v="1899-12-30T20:37:00"/>
    <x v="0"/>
    <x v="360"/>
    <n v="4.7619047620000003"/>
    <n v="9.9789999999999992"/>
    <n v="8"/>
  </r>
  <r>
    <s v="462-67-9126"/>
    <s v="A"/>
    <x v="0"/>
    <x v="1"/>
    <s v="Male"/>
    <x v="2"/>
    <n v="73.22"/>
    <n v="6"/>
    <n v="21.966000000000001"/>
    <n v="461.286"/>
    <x v="18"/>
    <d v="1899-12-30T17:44:00"/>
    <x v="1"/>
    <x v="361"/>
    <n v="4.7619047620000003"/>
    <n v="21.966000000000001"/>
    <n v="7.2"/>
  </r>
  <r>
    <s v="272-27-9238"/>
    <s v="C"/>
    <x v="1"/>
    <x v="1"/>
    <s v="Female"/>
    <x v="4"/>
    <n v="41.24"/>
    <n v="4"/>
    <n v="8.2479999999999993"/>
    <n v="173.208"/>
    <x v="88"/>
    <d v="1899-12-30T16:23:00"/>
    <x v="1"/>
    <x v="362"/>
    <n v="4.7619047620000003"/>
    <n v="8.2479999999999993"/>
    <n v="7.1"/>
  </r>
  <r>
    <s v="834-25-9262"/>
    <s v="C"/>
    <x v="1"/>
    <x v="1"/>
    <s v="Female"/>
    <x v="5"/>
    <n v="81.680000000000007"/>
    <n v="4"/>
    <n v="16.335999999999999"/>
    <n v="343.05599999999998"/>
    <x v="47"/>
    <d v="1899-12-30T12:12:00"/>
    <x v="1"/>
    <x v="363"/>
    <n v="4.7619047620000003"/>
    <n v="16.335999999999999"/>
    <n v="9.1"/>
  </r>
  <r>
    <s v="122-61-9553"/>
    <s v="C"/>
    <x v="1"/>
    <x v="1"/>
    <s v="Female"/>
    <x v="1"/>
    <n v="51.32"/>
    <n v="9"/>
    <n v="23.094000000000001"/>
    <n v="484.97399999999999"/>
    <x v="86"/>
    <d v="1899-12-30T19:33:00"/>
    <x v="1"/>
    <x v="364"/>
    <n v="4.7619047620000003"/>
    <n v="23.094000000000001"/>
    <n v="5.6"/>
  </r>
  <r>
    <s v="468-88-0009"/>
    <s v="A"/>
    <x v="0"/>
    <x v="0"/>
    <s v="Male"/>
    <x v="2"/>
    <n v="65.94"/>
    <n v="4"/>
    <n v="13.188000000000001"/>
    <n v="276.94799999999998"/>
    <x v="62"/>
    <d v="1899-12-30T10:29:00"/>
    <x v="1"/>
    <x v="257"/>
    <n v="4.7619047620000003"/>
    <n v="13.188000000000001"/>
    <n v="6"/>
  </r>
  <r>
    <s v="613-59-9758"/>
    <s v="C"/>
    <x v="1"/>
    <x v="1"/>
    <s v="Female"/>
    <x v="3"/>
    <n v="14.36"/>
    <n v="10"/>
    <n v="7.18"/>
    <n v="150.78"/>
    <x v="3"/>
    <d v="1899-12-30T14:28:00"/>
    <x v="1"/>
    <x v="365"/>
    <n v="4.7619047620000003"/>
    <n v="7.18"/>
    <n v="5.4"/>
  </r>
  <r>
    <s v="254-31-0042"/>
    <s v="A"/>
    <x v="0"/>
    <x v="0"/>
    <s v="Male"/>
    <x v="1"/>
    <n v="21.5"/>
    <n v="9"/>
    <n v="9.6750000000000007"/>
    <n v="203.17500000000001"/>
    <x v="43"/>
    <d v="1899-12-30T12:46:00"/>
    <x v="2"/>
    <x v="366"/>
    <n v="4.7619047620000003"/>
    <n v="9.6750000000000007"/>
    <n v="7.8"/>
  </r>
  <r>
    <s v="201-86-2184"/>
    <s v="B"/>
    <x v="2"/>
    <x v="0"/>
    <s v="Female"/>
    <x v="1"/>
    <n v="26.26"/>
    <n v="7"/>
    <n v="9.1910000000000007"/>
    <n v="193.011"/>
    <x v="30"/>
    <d v="1899-12-30T19:40:00"/>
    <x v="1"/>
    <x v="367"/>
    <n v="4.7619047620000003"/>
    <n v="9.1910000000000007"/>
    <n v="9.9"/>
  </r>
  <r>
    <s v="261-12-8671"/>
    <s v="B"/>
    <x v="2"/>
    <x v="1"/>
    <s v="Female"/>
    <x v="5"/>
    <n v="60.96"/>
    <n v="2"/>
    <n v="6.0960000000000001"/>
    <n v="128.01599999999999"/>
    <x v="25"/>
    <d v="1899-12-30T19:39:00"/>
    <x v="2"/>
    <x v="368"/>
    <n v="4.7619047620000003"/>
    <n v="6.0960000000000001"/>
    <n v="4.9000000000000004"/>
  </r>
  <r>
    <s v="730-70-9830"/>
    <s v="C"/>
    <x v="1"/>
    <x v="1"/>
    <s v="Female"/>
    <x v="2"/>
    <n v="70.11"/>
    <n v="6"/>
    <n v="21.033000000000001"/>
    <n v="441.69299999999998"/>
    <x v="86"/>
    <d v="1899-12-30T17:54:00"/>
    <x v="0"/>
    <x v="369"/>
    <n v="4.7619047620000003"/>
    <n v="21.033000000000001"/>
    <n v="5.2"/>
  </r>
  <r>
    <s v="382-25-8917"/>
    <s v="C"/>
    <x v="1"/>
    <x v="1"/>
    <s v="Male"/>
    <x v="5"/>
    <n v="42.08"/>
    <n v="6"/>
    <n v="12.624000000000001"/>
    <n v="265.10399999999998"/>
    <x v="71"/>
    <d v="1899-12-30T12:25:00"/>
    <x v="1"/>
    <x v="370"/>
    <n v="4.7619047620000003"/>
    <n v="12.624000000000001"/>
    <n v="8.9"/>
  </r>
  <r>
    <s v="422-29-8786"/>
    <s v="A"/>
    <x v="0"/>
    <x v="1"/>
    <s v="Female"/>
    <x v="2"/>
    <n v="67.09"/>
    <n v="5"/>
    <n v="16.772500000000001"/>
    <n v="352.22250000000003"/>
    <x v="75"/>
    <d v="1899-12-30T16:47:00"/>
    <x v="2"/>
    <x v="371"/>
    <n v="4.7619047620000003"/>
    <n v="16.772500000000001"/>
    <n v="9.1"/>
  </r>
  <r>
    <s v="667-23-5919"/>
    <s v="A"/>
    <x v="0"/>
    <x v="0"/>
    <s v="Female"/>
    <x v="5"/>
    <n v="96.7"/>
    <n v="5"/>
    <n v="24.175000000000001"/>
    <n v="507.67500000000001"/>
    <x v="78"/>
    <d v="1899-12-30T12:52:00"/>
    <x v="0"/>
    <x v="372"/>
    <n v="4.7619047620000003"/>
    <n v="24.175000000000001"/>
    <n v="7"/>
  </r>
  <r>
    <s v="843-01-4703"/>
    <s v="B"/>
    <x v="2"/>
    <x v="0"/>
    <s v="Female"/>
    <x v="2"/>
    <n v="35.380000000000003"/>
    <n v="9"/>
    <n v="15.920999999999999"/>
    <n v="334.34100000000001"/>
    <x v="0"/>
    <d v="1899-12-30T19:50:00"/>
    <x v="2"/>
    <x v="373"/>
    <n v="4.7619047620000003"/>
    <n v="15.920999999999999"/>
    <n v="9.6"/>
  </r>
  <r>
    <s v="743-88-1662"/>
    <s v="C"/>
    <x v="1"/>
    <x v="1"/>
    <s v="Male"/>
    <x v="3"/>
    <n v="95.49"/>
    <n v="7"/>
    <n v="33.421500000000002"/>
    <n v="701.85149999999999"/>
    <x v="70"/>
    <d v="1899-12-30T18:17:00"/>
    <x v="0"/>
    <x v="374"/>
    <n v="4.7619047620000003"/>
    <n v="33.421500000000002"/>
    <n v="8.6999999999999993"/>
  </r>
  <r>
    <s v="595-86-2894"/>
    <s v="C"/>
    <x v="1"/>
    <x v="0"/>
    <s v="Male"/>
    <x v="5"/>
    <n v="96.98"/>
    <n v="4"/>
    <n v="19.396000000000001"/>
    <n v="407.31599999999997"/>
    <x v="10"/>
    <d v="1899-12-30T17:20:00"/>
    <x v="0"/>
    <x v="375"/>
    <n v="4.7619047620000003"/>
    <n v="19.396000000000001"/>
    <n v="9.4"/>
  </r>
  <r>
    <s v="182-69-8360"/>
    <s v="B"/>
    <x v="2"/>
    <x v="1"/>
    <s v="Female"/>
    <x v="1"/>
    <n v="23.65"/>
    <n v="4"/>
    <n v="4.7300000000000004"/>
    <n v="99.33"/>
    <x v="74"/>
    <d v="1899-12-30T13:32:00"/>
    <x v="2"/>
    <x v="376"/>
    <n v="4.7619047620000003"/>
    <n v="4.7300000000000004"/>
    <n v="4"/>
  </r>
  <r>
    <s v="289-15-7034"/>
    <s v="A"/>
    <x v="0"/>
    <x v="0"/>
    <s v="Male"/>
    <x v="3"/>
    <n v="82.33"/>
    <n v="4"/>
    <n v="16.466000000000001"/>
    <n v="345.786"/>
    <x v="83"/>
    <d v="1899-12-30T10:37:00"/>
    <x v="2"/>
    <x v="377"/>
    <n v="4.7619047620000003"/>
    <n v="16.466000000000001"/>
    <n v="7.5"/>
  </r>
  <r>
    <s v="462-78-5240"/>
    <s v="C"/>
    <x v="1"/>
    <x v="1"/>
    <s v="Female"/>
    <x v="1"/>
    <n v="26.61"/>
    <n v="2"/>
    <n v="2.661"/>
    <n v="55.881"/>
    <x v="35"/>
    <d v="1899-12-30T14:35:00"/>
    <x v="1"/>
    <x v="378"/>
    <n v="4.7619047620000003"/>
    <n v="2.661"/>
    <n v="4.2"/>
  </r>
  <r>
    <s v="868-52-7573"/>
    <s v="B"/>
    <x v="2"/>
    <x v="1"/>
    <s v="Female"/>
    <x v="4"/>
    <n v="99.69"/>
    <n v="5"/>
    <n v="24.922499999999999"/>
    <n v="523.37249999999995"/>
    <x v="78"/>
    <d v="1899-12-30T12:09:00"/>
    <x v="1"/>
    <x v="379"/>
    <n v="4.7619047620000003"/>
    <n v="24.922499999999999"/>
    <n v="9.9"/>
  </r>
  <r>
    <s v="153-58-4872"/>
    <s v="C"/>
    <x v="1"/>
    <x v="0"/>
    <s v="Female"/>
    <x v="4"/>
    <n v="74.89"/>
    <n v="4"/>
    <n v="14.978"/>
    <n v="314.53800000000001"/>
    <x v="59"/>
    <d v="1899-12-30T15:32:00"/>
    <x v="0"/>
    <x v="380"/>
    <n v="4.7619047620000003"/>
    <n v="14.978"/>
    <n v="4.2"/>
  </r>
  <r>
    <s v="662-72-2873"/>
    <s v="A"/>
    <x v="0"/>
    <x v="1"/>
    <s v="Female"/>
    <x v="4"/>
    <n v="40.94"/>
    <n v="5"/>
    <n v="10.234999999999999"/>
    <n v="214.935"/>
    <x v="47"/>
    <d v="1899-12-30T13:58:00"/>
    <x v="0"/>
    <x v="381"/>
    <n v="4.7619047620000003"/>
    <n v="10.234999999999999"/>
    <n v="9.9"/>
  </r>
  <r>
    <s v="525-88-7307"/>
    <s v="B"/>
    <x v="2"/>
    <x v="0"/>
    <s v="Male"/>
    <x v="3"/>
    <n v="75.819999999999993"/>
    <n v="1"/>
    <n v="3.7909999999999999"/>
    <n v="79.611000000000004"/>
    <x v="82"/>
    <d v="1899-12-30T13:19:00"/>
    <x v="1"/>
    <x v="382"/>
    <n v="4.7619047620000003"/>
    <n v="3.7909999999999999"/>
    <n v="5.8"/>
  </r>
  <r>
    <s v="689-16-9784"/>
    <s v="C"/>
    <x v="1"/>
    <x v="1"/>
    <s v="Male"/>
    <x v="4"/>
    <n v="46.77"/>
    <n v="6"/>
    <n v="14.031000000000001"/>
    <n v="294.65100000000001"/>
    <x v="16"/>
    <d v="1899-12-30T13:37:00"/>
    <x v="1"/>
    <x v="383"/>
    <n v="4.7619047620000003"/>
    <n v="14.031000000000001"/>
    <n v="6"/>
  </r>
  <r>
    <s v="725-56-0833"/>
    <s v="A"/>
    <x v="0"/>
    <x v="1"/>
    <s v="Female"/>
    <x v="0"/>
    <n v="32.32"/>
    <n v="10"/>
    <n v="16.16"/>
    <n v="339.36"/>
    <x v="9"/>
    <d v="1899-12-30T16:49:00"/>
    <x v="2"/>
    <x v="384"/>
    <n v="4.7619047620000003"/>
    <n v="16.16"/>
    <n v="10"/>
  </r>
  <r>
    <s v="394-41-0748"/>
    <s v="C"/>
    <x v="1"/>
    <x v="0"/>
    <s v="Female"/>
    <x v="5"/>
    <n v="54.07"/>
    <n v="9"/>
    <n v="24.331499999999998"/>
    <n v="510.9615"/>
    <x v="3"/>
    <d v="1899-12-30T14:55:00"/>
    <x v="0"/>
    <x v="385"/>
    <n v="4.7619047620000003"/>
    <n v="24.331499999999998"/>
    <n v="9.5"/>
  </r>
  <r>
    <s v="596-42-3999"/>
    <s v="B"/>
    <x v="2"/>
    <x v="1"/>
    <s v="Male"/>
    <x v="4"/>
    <n v="18.22"/>
    <n v="7"/>
    <n v="6.3769999999999998"/>
    <n v="133.917"/>
    <x v="24"/>
    <d v="1899-12-30T14:04:00"/>
    <x v="2"/>
    <x v="386"/>
    <n v="4.7619047620000003"/>
    <n v="6.3769999999999998"/>
    <n v="6.6"/>
  </r>
  <r>
    <s v="541-89-9860"/>
    <s v="C"/>
    <x v="1"/>
    <x v="0"/>
    <s v="Female"/>
    <x v="5"/>
    <n v="80.48"/>
    <n v="3"/>
    <n v="12.071999999999999"/>
    <n v="253.512"/>
    <x v="42"/>
    <d v="1899-12-30T12:31:00"/>
    <x v="1"/>
    <x v="387"/>
    <n v="4.7619047620000003"/>
    <n v="12.071999999999999"/>
    <n v="8.1"/>
  </r>
  <r>
    <s v="173-82-9529"/>
    <s v="B"/>
    <x v="2"/>
    <x v="1"/>
    <s v="Female"/>
    <x v="5"/>
    <n v="37.950000000000003"/>
    <n v="10"/>
    <n v="18.975000000000001"/>
    <n v="398.47500000000002"/>
    <x v="53"/>
    <d v="1899-12-30T14:51:00"/>
    <x v="1"/>
    <x v="388"/>
    <n v="4.7619047620000003"/>
    <n v="18.975000000000001"/>
    <n v="9.6999999999999993"/>
  </r>
  <r>
    <s v="563-36-9814"/>
    <s v="A"/>
    <x v="0"/>
    <x v="0"/>
    <s v="Male"/>
    <x v="1"/>
    <n v="76.819999999999993"/>
    <n v="1"/>
    <n v="3.8410000000000002"/>
    <n v="80.661000000000001"/>
    <x v="77"/>
    <d v="1899-12-30T18:27:00"/>
    <x v="0"/>
    <x v="389"/>
    <n v="4.7619047620000003"/>
    <n v="3.8410000000000002"/>
    <n v="7.2"/>
  </r>
  <r>
    <s v="308-47-4913"/>
    <s v="A"/>
    <x v="0"/>
    <x v="0"/>
    <s v="Female"/>
    <x v="3"/>
    <n v="52.26"/>
    <n v="10"/>
    <n v="26.13"/>
    <n v="548.73"/>
    <x v="11"/>
    <d v="1899-12-30T12:45:00"/>
    <x v="2"/>
    <x v="390"/>
    <n v="4.7619047620000003"/>
    <n v="26.13"/>
    <n v="6.2"/>
  </r>
  <r>
    <s v="885-17-6250"/>
    <s v="A"/>
    <x v="0"/>
    <x v="1"/>
    <s v="Female"/>
    <x v="0"/>
    <n v="79.739999999999995"/>
    <n v="1"/>
    <n v="3.9870000000000001"/>
    <n v="83.727000000000004"/>
    <x v="43"/>
    <d v="1899-12-30T10:36:00"/>
    <x v="0"/>
    <x v="391"/>
    <n v="4.7619047620000003"/>
    <n v="3.9870000000000001"/>
    <n v="7.3"/>
  </r>
  <r>
    <s v="726-27-2396"/>
    <s v="A"/>
    <x v="0"/>
    <x v="1"/>
    <s v="Female"/>
    <x v="0"/>
    <n v="77.5"/>
    <n v="5"/>
    <n v="19.375"/>
    <n v="406.875"/>
    <x v="46"/>
    <d v="1899-12-30T20:36:00"/>
    <x v="0"/>
    <x v="392"/>
    <n v="4.7619047620000003"/>
    <n v="19.375"/>
    <n v="4.3"/>
  </r>
  <r>
    <s v="316-01-3952"/>
    <s v="A"/>
    <x v="0"/>
    <x v="1"/>
    <s v="Female"/>
    <x v="4"/>
    <n v="54.27"/>
    <n v="5"/>
    <n v="13.567500000000001"/>
    <n v="284.91750000000002"/>
    <x v="45"/>
    <d v="1899-12-30T14:16:00"/>
    <x v="0"/>
    <x v="393"/>
    <n v="4.7619047620000003"/>
    <n v="13.567500000000001"/>
    <n v="4.5999999999999996"/>
  </r>
  <r>
    <s v="760-54-1821"/>
    <s v="B"/>
    <x v="2"/>
    <x v="1"/>
    <s v="Male"/>
    <x v="2"/>
    <n v="13.59"/>
    <n v="9"/>
    <n v="6.1154999999999999"/>
    <n v="128.4255"/>
    <x v="20"/>
    <d v="1899-12-30T10:26:00"/>
    <x v="1"/>
    <x v="394"/>
    <n v="4.7619047620000003"/>
    <n v="6.1154999999999999"/>
    <n v="5.8"/>
  </r>
  <r>
    <s v="793-10-3222"/>
    <s v="B"/>
    <x v="2"/>
    <x v="0"/>
    <s v="Female"/>
    <x v="0"/>
    <n v="41.06"/>
    <n v="6"/>
    <n v="12.318"/>
    <n v="258.678"/>
    <x v="19"/>
    <d v="1899-12-30T13:30:00"/>
    <x v="2"/>
    <x v="395"/>
    <n v="4.7619047620000003"/>
    <n v="12.318"/>
    <n v="8.3000000000000007"/>
  </r>
  <r>
    <s v="346-12-3257"/>
    <s v="B"/>
    <x v="2"/>
    <x v="0"/>
    <s v="Male"/>
    <x v="1"/>
    <n v="19.239999999999998"/>
    <n v="9"/>
    <n v="8.6579999999999995"/>
    <n v="181.81800000000001"/>
    <x v="31"/>
    <d v="1899-12-30T16:28:00"/>
    <x v="1"/>
    <x v="396"/>
    <n v="4.7619047620000003"/>
    <n v="8.6579999999999995"/>
    <n v="8"/>
  </r>
  <r>
    <s v="110-05-6330"/>
    <s v="C"/>
    <x v="1"/>
    <x v="1"/>
    <s v="Female"/>
    <x v="4"/>
    <n v="39.43"/>
    <n v="6"/>
    <n v="11.829000000000001"/>
    <n v="248.40899999999999"/>
    <x v="5"/>
    <d v="1899-12-30T20:18:00"/>
    <x v="2"/>
    <x v="397"/>
    <n v="4.7619047620000003"/>
    <n v="11.829000000000001"/>
    <n v="9.4"/>
  </r>
  <r>
    <s v="651-61-0874"/>
    <s v="C"/>
    <x v="1"/>
    <x v="1"/>
    <s v="Male"/>
    <x v="2"/>
    <n v="46.22"/>
    <n v="4"/>
    <n v="9.2439999999999998"/>
    <n v="194.124"/>
    <x v="41"/>
    <d v="1899-12-30T20:04:00"/>
    <x v="2"/>
    <x v="398"/>
    <n v="4.7619047620000003"/>
    <n v="9.2439999999999998"/>
    <n v="6.2"/>
  </r>
  <r>
    <s v="236-86-3015"/>
    <s v="C"/>
    <x v="1"/>
    <x v="0"/>
    <s v="Male"/>
    <x v="2"/>
    <n v="13.98"/>
    <n v="1"/>
    <n v="0.69899999999999995"/>
    <n v="14.679"/>
    <x v="87"/>
    <d v="1899-12-30T13:38:00"/>
    <x v="0"/>
    <x v="399"/>
    <n v="4.7619047620000003"/>
    <n v="0.69899999999999995"/>
    <n v="9.8000000000000007"/>
  </r>
  <r>
    <s v="831-64-0259"/>
    <s v="B"/>
    <x v="2"/>
    <x v="1"/>
    <s v="Female"/>
    <x v="5"/>
    <n v="39.75"/>
    <n v="5"/>
    <n v="9.9375"/>
    <n v="208.6875"/>
    <x v="70"/>
    <d v="1899-12-30T10:43:00"/>
    <x v="0"/>
    <x v="400"/>
    <n v="4.7619047620000003"/>
    <n v="9.9375"/>
    <n v="9.6"/>
  </r>
  <r>
    <s v="587-03-7455"/>
    <s v="C"/>
    <x v="1"/>
    <x v="0"/>
    <s v="Female"/>
    <x v="5"/>
    <n v="97.79"/>
    <n v="7"/>
    <n v="34.226500000000001"/>
    <n v="718.75649999999996"/>
    <x v="69"/>
    <d v="1899-12-30T17:30:00"/>
    <x v="0"/>
    <x v="401"/>
    <n v="4.7619047620000003"/>
    <n v="34.226500000000001"/>
    <n v="4.9000000000000004"/>
  </r>
  <r>
    <s v="882-40-4577"/>
    <s v="A"/>
    <x v="0"/>
    <x v="0"/>
    <s v="Male"/>
    <x v="3"/>
    <n v="67.260000000000005"/>
    <n v="4"/>
    <n v="13.452"/>
    <n v="282.49200000000002"/>
    <x v="64"/>
    <d v="1899-12-30T15:28:00"/>
    <x v="2"/>
    <x v="402"/>
    <n v="4.7619047620000003"/>
    <n v="13.452"/>
    <n v="8"/>
  </r>
  <r>
    <s v="732-67-5346"/>
    <s v="A"/>
    <x v="0"/>
    <x v="1"/>
    <s v="Male"/>
    <x v="4"/>
    <n v="13.79"/>
    <n v="5"/>
    <n v="3.4474999999999998"/>
    <n v="72.397499999999994"/>
    <x v="83"/>
    <d v="1899-12-30T19:07:00"/>
    <x v="2"/>
    <x v="403"/>
    <n v="4.7619047620000003"/>
    <n v="3.4474999999999998"/>
    <n v="7.8"/>
  </r>
  <r>
    <s v="725-32-9708"/>
    <s v="B"/>
    <x v="2"/>
    <x v="0"/>
    <s v="Female"/>
    <x v="5"/>
    <n v="68.709999999999994"/>
    <n v="4"/>
    <n v="13.742000000000001"/>
    <n v="288.58199999999999"/>
    <x v="72"/>
    <d v="1899-12-30T19:01:00"/>
    <x v="1"/>
    <x v="404"/>
    <n v="4.7619047620000003"/>
    <n v="13.742000000000001"/>
    <n v="4.0999999999999996"/>
  </r>
  <r>
    <s v="256-08-8343"/>
    <s v="A"/>
    <x v="0"/>
    <x v="1"/>
    <s v="Female"/>
    <x v="2"/>
    <n v="56.53"/>
    <n v="4"/>
    <n v="11.305999999999999"/>
    <n v="237.42599999999999"/>
    <x v="31"/>
    <d v="1899-12-30T19:48:00"/>
    <x v="0"/>
    <x v="405"/>
    <n v="4.7619047620000003"/>
    <n v="11.305999999999999"/>
    <n v="5.5"/>
  </r>
  <r>
    <s v="372-26-1506"/>
    <s v="C"/>
    <x v="1"/>
    <x v="1"/>
    <s v="Female"/>
    <x v="5"/>
    <n v="23.82"/>
    <n v="5"/>
    <n v="5.9550000000000001"/>
    <n v="125.05500000000001"/>
    <x v="26"/>
    <d v="1899-12-30T19:24:00"/>
    <x v="0"/>
    <x v="406"/>
    <n v="4.7619047620000003"/>
    <n v="5.9550000000000001"/>
    <n v="5.4"/>
  </r>
  <r>
    <s v="244-08-0162"/>
    <s v="B"/>
    <x v="2"/>
    <x v="1"/>
    <s v="Female"/>
    <x v="0"/>
    <n v="34.21"/>
    <n v="10"/>
    <n v="17.105"/>
    <n v="359.20499999999998"/>
    <x v="56"/>
    <d v="1899-12-30T13:00:00"/>
    <x v="1"/>
    <x v="407"/>
    <n v="4.7619047620000003"/>
    <n v="17.105"/>
    <n v="5.0999999999999996"/>
  </r>
  <r>
    <s v="569-71-4390"/>
    <s v="B"/>
    <x v="2"/>
    <x v="1"/>
    <s v="Male"/>
    <x v="3"/>
    <n v="21.87"/>
    <n v="2"/>
    <n v="2.1869999999999998"/>
    <n v="45.927"/>
    <x v="25"/>
    <d v="1899-12-30T14:29:00"/>
    <x v="0"/>
    <x v="408"/>
    <n v="4.7619047620000003"/>
    <n v="2.1869999999999998"/>
    <n v="6.9"/>
  </r>
  <r>
    <s v="132-23-6451"/>
    <s v="A"/>
    <x v="0"/>
    <x v="0"/>
    <s v="Male"/>
    <x v="0"/>
    <n v="20.97"/>
    <n v="5"/>
    <n v="5.2424999999999997"/>
    <n v="110.0925"/>
    <x v="72"/>
    <d v="1899-12-30T13:21:00"/>
    <x v="1"/>
    <x v="409"/>
    <n v="4.7619047620000003"/>
    <n v="5.2424999999999997"/>
    <n v="7.8"/>
  </r>
  <r>
    <s v="696-90-2548"/>
    <s v="A"/>
    <x v="0"/>
    <x v="1"/>
    <s v="Male"/>
    <x v="3"/>
    <n v="25.84"/>
    <n v="3"/>
    <n v="3.8759999999999999"/>
    <n v="81.396000000000001"/>
    <x v="24"/>
    <d v="1899-12-30T18:55:00"/>
    <x v="0"/>
    <x v="410"/>
    <n v="4.7619047620000003"/>
    <n v="3.8759999999999999"/>
    <n v="6.6"/>
  </r>
  <r>
    <s v="472-15-9636"/>
    <s v="A"/>
    <x v="0"/>
    <x v="1"/>
    <s v="Male"/>
    <x v="2"/>
    <n v="50.93"/>
    <n v="8"/>
    <n v="20.372"/>
    <n v="427.81200000000001"/>
    <x v="23"/>
    <d v="1899-12-30T19:36:00"/>
    <x v="0"/>
    <x v="411"/>
    <n v="4.7619047620000003"/>
    <n v="20.372"/>
    <n v="9.1999999999999993"/>
  </r>
  <r>
    <s v="268-03-6164"/>
    <s v="B"/>
    <x v="2"/>
    <x v="1"/>
    <s v="Male"/>
    <x v="0"/>
    <n v="96.11"/>
    <n v="1"/>
    <n v="4.8055000000000003"/>
    <n v="100.91549999999999"/>
    <x v="25"/>
    <d v="1899-12-30T16:28:00"/>
    <x v="0"/>
    <x v="412"/>
    <n v="4.7619047620000003"/>
    <n v="4.8055000000000003"/>
    <n v="7.8"/>
  </r>
  <r>
    <s v="750-57-9686"/>
    <s v="C"/>
    <x v="1"/>
    <x v="1"/>
    <s v="Female"/>
    <x v="2"/>
    <n v="45.38"/>
    <n v="4"/>
    <n v="9.0760000000000005"/>
    <n v="190.596"/>
    <x v="66"/>
    <d v="1899-12-30T13:48:00"/>
    <x v="2"/>
    <x v="413"/>
    <n v="4.7619047620000003"/>
    <n v="9.0760000000000005"/>
    <n v="8.6999999999999993"/>
  </r>
  <r>
    <s v="186-09-3669"/>
    <s v="C"/>
    <x v="1"/>
    <x v="0"/>
    <s v="Female"/>
    <x v="0"/>
    <n v="81.510000000000005"/>
    <n v="1"/>
    <n v="4.0754999999999999"/>
    <n v="85.585499999999996"/>
    <x v="49"/>
    <d v="1899-12-30T10:57:00"/>
    <x v="0"/>
    <x v="414"/>
    <n v="4.7619047620000003"/>
    <n v="4.0754999999999999"/>
    <n v="9.1999999999999993"/>
  </r>
  <r>
    <s v="848-07-1692"/>
    <s v="B"/>
    <x v="2"/>
    <x v="1"/>
    <s v="Female"/>
    <x v="0"/>
    <n v="57.22"/>
    <n v="2"/>
    <n v="5.7220000000000004"/>
    <n v="120.16200000000001"/>
    <x v="52"/>
    <d v="1899-12-30T17:13:00"/>
    <x v="0"/>
    <x v="415"/>
    <n v="4.7619047620000003"/>
    <n v="5.7220000000000004"/>
    <n v="8.3000000000000007"/>
  </r>
  <r>
    <s v="745-71-3520"/>
    <s v="A"/>
    <x v="0"/>
    <x v="0"/>
    <s v="Female"/>
    <x v="1"/>
    <n v="25.22"/>
    <n v="7"/>
    <n v="8.827"/>
    <n v="185.36699999999999"/>
    <x v="87"/>
    <d v="1899-12-30T10:23:00"/>
    <x v="1"/>
    <x v="416"/>
    <n v="4.7619047620000003"/>
    <n v="8.827"/>
    <n v="8.1999999999999993"/>
  </r>
  <r>
    <s v="266-76-6436"/>
    <s v="C"/>
    <x v="1"/>
    <x v="0"/>
    <s v="Female"/>
    <x v="4"/>
    <n v="38.6"/>
    <n v="3"/>
    <n v="5.79"/>
    <n v="121.59"/>
    <x v="61"/>
    <d v="1899-12-30T13:57:00"/>
    <x v="0"/>
    <x v="417"/>
    <n v="4.7619047620000003"/>
    <n v="5.79"/>
    <n v="7.5"/>
  </r>
  <r>
    <s v="740-22-2500"/>
    <s v="C"/>
    <x v="1"/>
    <x v="1"/>
    <s v="Female"/>
    <x v="1"/>
    <n v="84.05"/>
    <n v="3"/>
    <n v="12.6075"/>
    <n v="264.75749999999999"/>
    <x v="54"/>
    <d v="1899-12-30T13:29:00"/>
    <x v="1"/>
    <x v="418"/>
    <n v="4.7619047620000003"/>
    <n v="12.6075"/>
    <n v="9.8000000000000007"/>
  </r>
  <r>
    <s v="271-88-8734"/>
    <s v="C"/>
    <x v="1"/>
    <x v="0"/>
    <s v="Female"/>
    <x v="5"/>
    <n v="97.21"/>
    <n v="10"/>
    <n v="48.604999999999997"/>
    <n v="1020.705"/>
    <x v="4"/>
    <d v="1899-12-30T13:00:00"/>
    <x v="2"/>
    <x v="419"/>
    <n v="4.7619047620000003"/>
    <n v="48.604999999999997"/>
    <n v="8.6999999999999993"/>
  </r>
  <r>
    <s v="301-81-8610"/>
    <s v="B"/>
    <x v="2"/>
    <x v="0"/>
    <s v="Male"/>
    <x v="5"/>
    <n v="25.42"/>
    <n v="8"/>
    <n v="10.167999999999999"/>
    <n v="213.52799999999999"/>
    <x v="35"/>
    <d v="1899-12-30T19:42:00"/>
    <x v="2"/>
    <x v="420"/>
    <n v="4.7619047620000003"/>
    <n v="10.167999999999999"/>
    <n v="6.7"/>
  </r>
  <r>
    <s v="489-64-4354"/>
    <s v="C"/>
    <x v="1"/>
    <x v="1"/>
    <s v="Male"/>
    <x v="5"/>
    <n v="16.28"/>
    <n v="1"/>
    <n v="0.81399999999999995"/>
    <n v="17.094000000000001"/>
    <x v="11"/>
    <d v="1899-12-30T15:36:00"/>
    <x v="1"/>
    <x v="421"/>
    <n v="4.7619047620000003"/>
    <n v="0.81399999999999995"/>
    <n v="5"/>
  </r>
  <r>
    <s v="198-84-7132"/>
    <s v="B"/>
    <x v="2"/>
    <x v="0"/>
    <s v="Male"/>
    <x v="5"/>
    <n v="40.61"/>
    <n v="9"/>
    <n v="18.2745"/>
    <n v="383.7645"/>
    <x v="56"/>
    <d v="1899-12-30T13:40:00"/>
    <x v="1"/>
    <x v="422"/>
    <n v="4.7619047620000003"/>
    <n v="18.2745"/>
    <n v="7"/>
  </r>
  <r>
    <s v="269-10-8440"/>
    <s v="A"/>
    <x v="0"/>
    <x v="0"/>
    <s v="Male"/>
    <x v="0"/>
    <n v="53.17"/>
    <n v="7"/>
    <n v="18.609500000000001"/>
    <n v="390.79950000000002"/>
    <x v="18"/>
    <d v="1899-12-30T18:01:00"/>
    <x v="1"/>
    <x v="423"/>
    <n v="4.7619047620000003"/>
    <n v="18.609500000000001"/>
    <n v="8.9"/>
  </r>
  <r>
    <s v="650-98-6268"/>
    <s v="B"/>
    <x v="2"/>
    <x v="0"/>
    <s v="Female"/>
    <x v="4"/>
    <n v="20.87"/>
    <n v="3"/>
    <n v="3.1305000000000001"/>
    <n v="65.740499999999997"/>
    <x v="80"/>
    <d v="1899-12-30T13:53:00"/>
    <x v="2"/>
    <x v="424"/>
    <n v="4.7619047620000003"/>
    <n v="3.1305000000000001"/>
    <n v="8"/>
  </r>
  <r>
    <s v="741-73-3559"/>
    <s v="B"/>
    <x v="2"/>
    <x v="1"/>
    <s v="Male"/>
    <x v="3"/>
    <n v="67.27"/>
    <n v="5"/>
    <n v="16.817499999999999"/>
    <n v="353.16750000000002"/>
    <x v="33"/>
    <d v="1899-12-30T17:27:00"/>
    <x v="1"/>
    <x v="425"/>
    <n v="4.7619047620000003"/>
    <n v="16.817499999999999"/>
    <n v="6.9"/>
  </r>
  <r>
    <s v="325-77-6186"/>
    <s v="A"/>
    <x v="0"/>
    <x v="0"/>
    <s v="Female"/>
    <x v="2"/>
    <n v="90.65"/>
    <n v="10"/>
    <n v="45.325000000000003"/>
    <n v="951.82500000000005"/>
    <x v="1"/>
    <d v="1899-12-30T10:53:00"/>
    <x v="0"/>
    <x v="426"/>
    <n v="4.7619047620000003"/>
    <n v="45.325000000000003"/>
    <n v="7.3"/>
  </r>
  <r>
    <s v="286-75-7818"/>
    <s v="B"/>
    <x v="2"/>
    <x v="1"/>
    <s v="Male"/>
    <x v="5"/>
    <n v="69.08"/>
    <n v="2"/>
    <n v="6.9080000000000004"/>
    <n v="145.06800000000001"/>
    <x v="82"/>
    <d v="1899-12-30T19:48:00"/>
    <x v="2"/>
    <x v="427"/>
    <n v="4.7619047620000003"/>
    <n v="6.9080000000000004"/>
    <n v="6.9"/>
  </r>
  <r>
    <s v="574-57-9721"/>
    <s v="C"/>
    <x v="1"/>
    <x v="1"/>
    <s v="Male"/>
    <x v="4"/>
    <n v="43.27"/>
    <n v="2"/>
    <n v="4.327"/>
    <n v="90.867000000000004"/>
    <x v="1"/>
    <d v="1899-12-30T16:53:00"/>
    <x v="0"/>
    <x v="428"/>
    <n v="4.7619047620000003"/>
    <n v="4.327"/>
    <n v="5.7"/>
  </r>
  <r>
    <s v="459-50-7686"/>
    <s v="A"/>
    <x v="0"/>
    <x v="1"/>
    <s v="Female"/>
    <x v="1"/>
    <n v="23.46"/>
    <n v="6"/>
    <n v="7.0380000000000003"/>
    <n v="147.798"/>
    <x v="50"/>
    <d v="1899-12-30T19:14:00"/>
    <x v="0"/>
    <x v="429"/>
    <n v="4.7619047620000003"/>
    <n v="7.0380000000000003"/>
    <n v="6.4"/>
  </r>
  <r>
    <s v="616-87-0016"/>
    <s v="B"/>
    <x v="2"/>
    <x v="1"/>
    <s v="Male"/>
    <x v="5"/>
    <n v="95.54"/>
    <n v="7"/>
    <n v="33.439"/>
    <n v="702.21900000000005"/>
    <x v="11"/>
    <d v="1899-12-30T14:36:00"/>
    <x v="2"/>
    <x v="430"/>
    <n v="4.7619047620000003"/>
    <n v="33.439"/>
    <n v="9.6"/>
  </r>
  <r>
    <s v="837-55-7229"/>
    <s v="B"/>
    <x v="2"/>
    <x v="1"/>
    <s v="Female"/>
    <x v="5"/>
    <n v="47.44"/>
    <n v="1"/>
    <n v="2.3719999999999999"/>
    <n v="49.811999999999998"/>
    <x v="70"/>
    <d v="1899-12-30T18:19:00"/>
    <x v="2"/>
    <x v="431"/>
    <n v="4.7619047620000003"/>
    <n v="2.3719999999999999"/>
    <n v="6.8"/>
  </r>
  <r>
    <s v="751-69-0068"/>
    <s v="C"/>
    <x v="1"/>
    <x v="1"/>
    <s v="Male"/>
    <x v="3"/>
    <n v="99.24"/>
    <n v="9"/>
    <n v="44.658000000000001"/>
    <n v="937.81799999999998"/>
    <x v="35"/>
    <d v="1899-12-30T19:09:00"/>
    <x v="0"/>
    <x v="432"/>
    <n v="4.7619047620000003"/>
    <n v="44.658000000000001"/>
    <n v="9"/>
  </r>
  <r>
    <s v="257-73-1380"/>
    <s v="C"/>
    <x v="1"/>
    <x v="0"/>
    <s v="Male"/>
    <x v="3"/>
    <n v="82.93"/>
    <n v="4"/>
    <n v="16.585999999999999"/>
    <n v="348.30599999999998"/>
    <x v="40"/>
    <d v="1899-12-30T16:51:00"/>
    <x v="0"/>
    <x v="433"/>
    <n v="4.7619047620000003"/>
    <n v="16.585999999999999"/>
    <n v="9.6"/>
  </r>
  <r>
    <s v="345-08-4992"/>
    <s v="A"/>
    <x v="0"/>
    <x v="1"/>
    <s v="Male"/>
    <x v="2"/>
    <n v="33.99"/>
    <n v="6"/>
    <n v="10.196999999999999"/>
    <n v="214.137"/>
    <x v="1"/>
    <d v="1899-12-30T15:37:00"/>
    <x v="2"/>
    <x v="434"/>
    <n v="4.7619047620000003"/>
    <n v="10.196999999999999"/>
    <n v="7.7"/>
  </r>
  <r>
    <s v="549-96-4200"/>
    <s v="C"/>
    <x v="1"/>
    <x v="0"/>
    <s v="Male"/>
    <x v="4"/>
    <n v="17.04"/>
    <n v="4"/>
    <n v="3.4079999999999999"/>
    <n v="71.567999999999998"/>
    <x v="1"/>
    <d v="1899-12-30T20:15:00"/>
    <x v="0"/>
    <x v="435"/>
    <n v="4.7619047620000003"/>
    <n v="3.4079999999999999"/>
    <n v="7"/>
  </r>
  <r>
    <s v="810-60-6344"/>
    <s v="C"/>
    <x v="1"/>
    <x v="1"/>
    <s v="Female"/>
    <x v="1"/>
    <n v="40.86"/>
    <n v="8"/>
    <n v="16.344000000000001"/>
    <n v="343.22399999999999"/>
    <x v="13"/>
    <d v="1899-12-30T14:38:00"/>
    <x v="2"/>
    <x v="436"/>
    <n v="4.7619047620000003"/>
    <n v="16.344000000000001"/>
    <n v="6.5"/>
  </r>
  <r>
    <s v="450-28-2866"/>
    <s v="C"/>
    <x v="1"/>
    <x v="0"/>
    <s v="Male"/>
    <x v="4"/>
    <n v="17.440000000000001"/>
    <n v="5"/>
    <n v="4.3600000000000003"/>
    <n v="91.56"/>
    <x v="15"/>
    <d v="1899-12-30T19:25:00"/>
    <x v="1"/>
    <x v="437"/>
    <n v="4.7619047620000003"/>
    <n v="4.3600000000000003"/>
    <n v="8.1"/>
  </r>
  <r>
    <s v="394-30-3170"/>
    <s v="B"/>
    <x v="2"/>
    <x v="0"/>
    <s v="Female"/>
    <x v="3"/>
    <n v="88.43"/>
    <n v="8"/>
    <n v="35.372"/>
    <n v="742.81200000000001"/>
    <x v="23"/>
    <d v="1899-12-30T19:35:00"/>
    <x v="2"/>
    <x v="438"/>
    <n v="4.7619047620000003"/>
    <n v="35.372"/>
    <n v="4.3"/>
  </r>
  <r>
    <s v="138-17-5109"/>
    <s v="A"/>
    <x v="0"/>
    <x v="0"/>
    <s v="Female"/>
    <x v="2"/>
    <n v="89.21"/>
    <n v="9"/>
    <n v="40.144500000000001"/>
    <n v="843.03449999999998"/>
    <x v="15"/>
    <d v="1899-12-30T15:42:00"/>
    <x v="2"/>
    <x v="439"/>
    <n v="4.7619047620000003"/>
    <n v="40.144500000000001"/>
    <n v="6.5"/>
  </r>
  <r>
    <s v="192-98-7397"/>
    <s v="C"/>
    <x v="1"/>
    <x v="1"/>
    <s v="Male"/>
    <x v="5"/>
    <n v="12.78"/>
    <n v="1"/>
    <n v="0.63900000000000001"/>
    <n v="13.419"/>
    <x v="66"/>
    <d v="1899-12-30T14:11:00"/>
    <x v="0"/>
    <x v="440"/>
    <n v="4.7619047620000003"/>
    <n v="0.63900000000000001"/>
    <n v="9.5"/>
  </r>
  <r>
    <s v="301-11-9629"/>
    <s v="A"/>
    <x v="0"/>
    <x v="1"/>
    <s v="Female"/>
    <x v="3"/>
    <n v="19.100000000000001"/>
    <n v="7"/>
    <n v="6.6849999999999996"/>
    <n v="140.38499999999999"/>
    <x v="15"/>
    <d v="1899-12-30T10:43:00"/>
    <x v="1"/>
    <x v="441"/>
    <n v="4.7619047620000003"/>
    <n v="6.6849999999999996"/>
    <n v="9.6999999999999993"/>
  </r>
  <r>
    <s v="390-80-5128"/>
    <s v="B"/>
    <x v="2"/>
    <x v="0"/>
    <s v="Female"/>
    <x v="0"/>
    <n v="19.149999999999999"/>
    <n v="1"/>
    <n v="0.95750000000000002"/>
    <n v="20.107500000000002"/>
    <x v="26"/>
    <d v="1899-12-30T17:58:00"/>
    <x v="2"/>
    <x v="442"/>
    <n v="4.7619047620000003"/>
    <n v="0.95750000000000002"/>
    <n v="9.5"/>
  </r>
  <r>
    <s v="235-46-8343"/>
    <s v="C"/>
    <x v="1"/>
    <x v="0"/>
    <s v="Male"/>
    <x v="4"/>
    <n v="27.66"/>
    <n v="10"/>
    <n v="13.83"/>
    <n v="290.43"/>
    <x v="44"/>
    <d v="1899-12-30T11:26:00"/>
    <x v="2"/>
    <x v="443"/>
    <n v="4.7619047620000003"/>
    <n v="13.83"/>
    <n v="8.9"/>
  </r>
  <r>
    <s v="453-12-7053"/>
    <s v="C"/>
    <x v="1"/>
    <x v="1"/>
    <s v="Male"/>
    <x v="5"/>
    <n v="45.74"/>
    <n v="3"/>
    <n v="6.8609999999999998"/>
    <n v="144.08099999999999"/>
    <x v="24"/>
    <d v="1899-12-30T17:38:00"/>
    <x v="2"/>
    <x v="444"/>
    <n v="4.7619047620000003"/>
    <n v="6.8609999999999998"/>
    <n v="6.5"/>
  </r>
  <r>
    <s v="296-11-7041"/>
    <s v="B"/>
    <x v="2"/>
    <x v="0"/>
    <s v="Female"/>
    <x v="0"/>
    <n v="27.07"/>
    <n v="1"/>
    <n v="1.3534999999999999"/>
    <n v="28.423500000000001"/>
    <x v="52"/>
    <d v="1899-12-30T20:07:00"/>
    <x v="2"/>
    <x v="445"/>
    <n v="4.7619047620000003"/>
    <n v="1.3534999999999999"/>
    <n v="5.3"/>
  </r>
  <r>
    <s v="449-27-2918"/>
    <s v="B"/>
    <x v="2"/>
    <x v="0"/>
    <s v="Female"/>
    <x v="3"/>
    <n v="39.119999999999997"/>
    <n v="1"/>
    <n v="1.956"/>
    <n v="41.076000000000001"/>
    <x v="58"/>
    <d v="1899-12-30T11:02:00"/>
    <x v="2"/>
    <x v="446"/>
    <n v="4.7619047620000003"/>
    <n v="1.956"/>
    <n v="9.6"/>
  </r>
  <r>
    <s v="891-01-7034"/>
    <s v="B"/>
    <x v="2"/>
    <x v="1"/>
    <s v="Female"/>
    <x v="1"/>
    <n v="74.709999999999994"/>
    <n v="6"/>
    <n v="22.413"/>
    <n v="470.673"/>
    <x v="17"/>
    <d v="1899-12-30T19:07:00"/>
    <x v="1"/>
    <x v="447"/>
    <n v="4.7619047620000003"/>
    <n v="22.413"/>
    <n v="6.7"/>
  </r>
  <r>
    <s v="744-09-5786"/>
    <s v="B"/>
    <x v="2"/>
    <x v="1"/>
    <s v="Male"/>
    <x v="1"/>
    <n v="22.01"/>
    <n v="6"/>
    <n v="6.6029999999999998"/>
    <n v="138.66300000000001"/>
    <x v="56"/>
    <d v="1899-12-30T18:50:00"/>
    <x v="1"/>
    <x v="448"/>
    <n v="4.7619047620000003"/>
    <n v="6.6029999999999998"/>
    <n v="7.6"/>
  </r>
  <r>
    <s v="727-17-0390"/>
    <s v="A"/>
    <x v="0"/>
    <x v="1"/>
    <s v="Female"/>
    <x v="4"/>
    <n v="63.61"/>
    <n v="5"/>
    <n v="15.9025"/>
    <n v="333.95249999999999"/>
    <x v="32"/>
    <d v="1899-12-30T12:43:00"/>
    <x v="0"/>
    <x v="449"/>
    <n v="4.7619047620000003"/>
    <n v="15.9025"/>
    <n v="4.8"/>
  </r>
  <r>
    <s v="568-88-3448"/>
    <s v="A"/>
    <x v="0"/>
    <x v="1"/>
    <s v="Male"/>
    <x v="0"/>
    <n v="25"/>
    <n v="1"/>
    <n v="1.25"/>
    <n v="26.25"/>
    <x v="2"/>
    <d v="1899-12-30T15:09:00"/>
    <x v="0"/>
    <x v="450"/>
    <n v="4.7619047620000003"/>
    <n v="1.25"/>
    <n v="5.5"/>
  </r>
  <r>
    <s v="187-83-5490"/>
    <s v="A"/>
    <x v="0"/>
    <x v="0"/>
    <s v="Male"/>
    <x v="1"/>
    <n v="20.77"/>
    <n v="4"/>
    <n v="4.1539999999999999"/>
    <n v="87.233999999999995"/>
    <x v="82"/>
    <d v="1899-12-30T13:47:00"/>
    <x v="1"/>
    <x v="451"/>
    <n v="4.7619047620000003"/>
    <n v="4.1539999999999999"/>
    <n v="4.7"/>
  </r>
  <r>
    <s v="767-54-1907"/>
    <s v="B"/>
    <x v="2"/>
    <x v="0"/>
    <s v="Female"/>
    <x v="5"/>
    <n v="29.56"/>
    <n v="5"/>
    <n v="7.39"/>
    <n v="155.19"/>
    <x v="77"/>
    <d v="1899-12-30T16:59:00"/>
    <x v="1"/>
    <x v="452"/>
    <n v="4.7619047620000003"/>
    <n v="7.39"/>
    <n v="6.9"/>
  </r>
  <r>
    <s v="710-46-4433"/>
    <s v="B"/>
    <x v="2"/>
    <x v="0"/>
    <s v="Female"/>
    <x v="4"/>
    <n v="77.400000000000006"/>
    <n v="9"/>
    <n v="34.83"/>
    <n v="731.43"/>
    <x v="42"/>
    <d v="1899-12-30T14:15:00"/>
    <x v="2"/>
    <x v="453"/>
    <n v="4.7619047620000003"/>
    <n v="34.83"/>
    <n v="4.5"/>
  </r>
  <r>
    <s v="533-33-5337"/>
    <s v="B"/>
    <x v="2"/>
    <x v="1"/>
    <s v="Male"/>
    <x v="1"/>
    <n v="79.39"/>
    <n v="10"/>
    <n v="39.695"/>
    <n v="833.59500000000003"/>
    <x v="13"/>
    <d v="1899-12-30T20:24:00"/>
    <x v="1"/>
    <x v="454"/>
    <n v="4.7619047620000003"/>
    <n v="39.695"/>
    <n v="6.2"/>
  </r>
  <r>
    <s v="325-90-8763"/>
    <s v="C"/>
    <x v="1"/>
    <x v="0"/>
    <s v="Female"/>
    <x v="1"/>
    <n v="46.57"/>
    <n v="10"/>
    <n v="23.285"/>
    <n v="488.98500000000001"/>
    <x v="3"/>
    <d v="1899-12-30T13:58:00"/>
    <x v="1"/>
    <x v="455"/>
    <n v="4.7619047620000003"/>
    <n v="23.285"/>
    <n v="7.6"/>
  </r>
  <r>
    <s v="729-46-7422"/>
    <s v="C"/>
    <x v="1"/>
    <x v="1"/>
    <s v="Male"/>
    <x v="4"/>
    <n v="35.89"/>
    <n v="1"/>
    <n v="1.7945"/>
    <n v="37.6845"/>
    <x v="55"/>
    <d v="1899-12-30T16:52:00"/>
    <x v="2"/>
    <x v="456"/>
    <n v="4.7619047620000003"/>
    <n v="1.7945"/>
    <n v="7.9"/>
  </r>
  <r>
    <s v="639-76-1242"/>
    <s v="C"/>
    <x v="1"/>
    <x v="1"/>
    <s v="Male"/>
    <x v="4"/>
    <n v="40.520000000000003"/>
    <n v="5"/>
    <n v="10.130000000000001"/>
    <n v="212.73"/>
    <x v="36"/>
    <d v="1899-12-30T15:19:00"/>
    <x v="1"/>
    <x v="457"/>
    <n v="4.7619047620000003"/>
    <n v="10.130000000000001"/>
    <n v="4.5"/>
  </r>
  <r>
    <s v="234-03-4040"/>
    <s v="B"/>
    <x v="2"/>
    <x v="0"/>
    <s v="Female"/>
    <x v="4"/>
    <n v="73.05"/>
    <n v="10"/>
    <n v="36.524999999999999"/>
    <n v="767.02499999999998"/>
    <x v="2"/>
    <d v="1899-12-30T12:25:00"/>
    <x v="2"/>
    <x v="458"/>
    <n v="4.7619047620000003"/>
    <n v="36.524999999999999"/>
    <n v="8.6999999999999993"/>
  </r>
  <r>
    <s v="326-71-2155"/>
    <s v="C"/>
    <x v="1"/>
    <x v="1"/>
    <s v="Female"/>
    <x v="3"/>
    <n v="73.95"/>
    <n v="4"/>
    <n v="14.79"/>
    <n v="310.58999999999997"/>
    <x v="36"/>
    <d v="1899-12-30T10:02:00"/>
    <x v="1"/>
    <x v="459"/>
    <n v="4.7619047620000003"/>
    <n v="14.79"/>
    <n v="6.1"/>
  </r>
  <r>
    <s v="320-32-8842"/>
    <s v="C"/>
    <x v="1"/>
    <x v="0"/>
    <s v="Female"/>
    <x v="4"/>
    <n v="22.62"/>
    <n v="1"/>
    <n v="1.131"/>
    <n v="23.751000000000001"/>
    <x v="85"/>
    <d v="1899-12-30T18:58:00"/>
    <x v="1"/>
    <x v="460"/>
    <n v="4.7619047620000003"/>
    <n v="1.131"/>
    <n v="6.4"/>
  </r>
  <r>
    <s v="470-32-9057"/>
    <s v="A"/>
    <x v="0"/>
    <x v="0"/>
    <s v="Male"/>
    <x v="4"/>
    <n v="51.34"/>
    <n v="5"/>
    <n v="12.835000000000001"/>
    <n v="269.53500000000003"/>
    <x v="61"/>
    <d v="1899-12-30T15:31:00"/>
    <x v="2"/>
    <x v="461"/>
    <n v="4.7619047620000003"/>
    <n v="12.835000000000001"/>
    <n v="9.1"/>
  </r>
  <r>
    <s v="878-30-2331"/>
    <s v="C"/>
    <x v="1"/>
    <x v="0"/>
    <s v="Female"/>
    <x v="3"/>
    <n v="54.55"/>
    <n v="10"/>
    <n v="27.274999999999999"/>
    <n v="572.77499999999998"/>
    <x v="22"/>
    <d v="1899-12-30T11:22:00"/>
    <x v="2"/>
    <x v="462"/>
    <n v="4.7619047620000003"/>
    <n v="27.274999999999999"/>
    <n v="7.1"/>
  </r>
  <r>
    <s v="440-59-5691"/>
    <s v="C"/>
    <x v="1"/>
    <x v="0"/>
    <s v="Female"/>
    <x v="0"/>
    <n v="37.15"/>
    <n v="7"/>
    <n v="13.0025"/>
    <n v="273.05250000000001"/>
    <x v="4"/>
    <d v="1899-12-30T13:12:00"/>
    <x v="2"/>
    <x v="463"/>
    <n v="4.7619047620000003"/>
    <n v="13.0025"/>
    <n v="7.7"/>
  </r>
  <r>
    <s v="554-53-3790"/>
    <s v="B"/>
    <x v="2"/>
    <x v="1"/>
    <s v="Male"/>
    <x v="3"/>
    <n v="37.020000000000003"/>
    <n v="6"/>
    <n v="11.106"/>
    <n v="233.226"/>
    <x v="23"/>
    <d v="1899-12-30T18:33:00"/>
    <x v="1"/>
    <x v="464"/>
    <n v="4.7619047620000003"/>
    <n v="11.106"/>
    <n v="4.5"/>
  </r>
  <r>
    <s v="746-19-0921"/>
    <s v="C"/>
    <x v="1"/>
    <x v="1"/>
    <s v="Male"/>
    <x v="4"/>
    <n v="21.58"/>
    <n v="1"/>
    <n v="1.079"/>
    <n v="22.658999999999999"/>
    <x v="57"/>
    <d v="1899-12-30T10:02:00"/>
    <x v="0"/>
    <x v="465"/>
    <n v="4.7619047620000003"/>
    <n v="1.079"/>
    <n v="7.2"/>
  </r>
  <r>
    <s v="233-34-0817"/>
    <s v="C"/>
    <x v="1"/>
    <x v="0"/>
    <s v="Female"/>
    <x v="1"/>
    <n v="98.84"/>
    <n v="1"/>
    <n v="4.9420000000000002"/>
    <n v="103.782"/>
    <x v="42"/>
    <d v="1899-12-30T11:21:00"/>
    <x v="1"/>
    <x v="466"/>
    <n v="4.7619047620000003"/>
    <n v="4.9420000000000002"/>
    <n v="8.4"/>
  </r>
  <r>
    <s v="767-05-1286"/>
    <s v="C"/>
    <x v="1"/>
    <x v="0"/>
    <s v="Female"/>
    <x v="2"/>
    <n v="83.77"/>
    <n v="6"/>
    <n v="25.131"/>
    <n v="527.75099999999998"/>
    <x v="54"/>
    <d v="1899-12-30T12:10:00"/>
    <x v="0"/>
    <x v="467"/>
    <n v="4.7619047620000003"/>
    <n v="25.131"/>
    <n v="5.4"/>
  </r>
  <r>
    <s v="340-21-9136"/>
    <s v="A"/>
    <x v="0"/>
    <x v="0"/>
    <s v="Female"/>
    <x v="3"/>
    <n v="40.049999999999997"/>
    <n v="4"/>
    <n v="8.01"/>
    <n v="168.21"/>
    <x v="25"/>
    <d v="1899-12-30T11:40:00"/>
    <x v="1"/>
    <x v="468"/>
    <n v="4.7619047620000003"/>
    <n v="8.01"/>
    <n v="9.6999999999999993"/>
  </r>
  <r>
    <s v="405-31-3305"/>
    <s v="A"/>
    <x v="0"/>
    <x v="0"/>
    <s v="Male"/>
    <x v="5"/>
    <n v="43.13"/>
    <n v="10"/>
    <n v="21.565000000000001"/>
    <n v="452.86500000000001"/>
    <x v="30"/>
    <d v="1899-12-30T18:31:00"/>
    <x v="2"/>
    <x v="469"/>
    <n v="4.7619047620000003"/>
    <n v="21.565000000000001"/>
    <n v="5.5"/>
  </r>
  <r>
    <s v="731-59-7531"/>
    <s v="B"/>
    <x v="2"/>
    <x v="0"/>
    <s v="Male"/>
    <x v="0"/>
    <n v="72.569999999999993"/>
    <n v="8"/>
    <n v="29.027999999999999"/>
    <n v="609.58799999999997"/>
    <x v="73"/>
    <d v="1899-12-30T17:58:00"/>
    <x v="1"/>
    <x v="470"/>
    <n v="4.7619047620000003"/>
    <n v="29.027999999999999"/>
    <n v="4.5999999999999996"/>
  </r>
  <r>
    <s v="676-39-6028"/>
    <s v="A"/>
    <x v="0"/>
    <x v="0"/>
    <s v="Female"/>
    <x v="1"/>
    <n v="64.44"/>
    <n v="5"/>
    <n v="16.11"/>
    <n v="338.31"/>
    <x v="73"/>
    <d v="1899-12-30T17:04:00"/>
    <x v="1"/>
    <x v="471"/>
    <n v="4.7619047620000003"/>
    <n v="16.11"/>
    <n v="6.6"/>
  </r>
  <r>
    <s v="502-05-1910"/>
    <s v="A"/>
    <x v="0"/>
    <x v="1"/>
    <s v="Male"/>
    <x v="0"/>
    <n v="65.180000000000007"/>
    <n v="3"/>
    <n v="9.7769999999999992"/>
    <n v="205.31700000000001"/>
    <x v="6"/>
    <d v="1899-12-30T20:35:00"/>
    <x v="2"/>
    <x v="472"/>
    <n v="4.7619047620000003"/>
    <n v="9.7769999999999992"/>
    <n v="6.3"/>
  </r>
  <r>
    <s v="485-30-8700"/>
    <s v="A"/>
    <x v="0"/>
    <x v="1"/>
    <s v="Female"/>
    <x v="3"/>
    <n v="33.26"/>
    <n v="5"/>
    <n v="8.3149999999999995"/>
    <n v="174.61500000000001"/>
    <x v="79"/>
    <d v="1899-12-30T16:10:00"/>
    <x v="2"/>
    <x v="473"/>
    <n v="4.7619047620000003"/>
    <n v="8.3149999999999995"/>
    <n v="4.2"/>
  </r>
  <r>
    <s v="598-47-9715"/>
    <s v="C"/>
    <x v="1"/>
    <x v="1"/>
    <s v="Male"/>
    <x v="1"/>
    <n v="84.07"/>
    <n v="4"/>
    <n v="16.814"/>
    <n v="353.09399999999999"/>
    <x v="37"/>
    <d v="1899-12-30T16:54:00"/>
    <x v="0"/>
    <x v="474"/>
    <n v="4.7619047620000003"/>
    <n v="16.814"/>
    <n v="4.4000000000000004"/>
  </r>
  <r>
    <s v="701-69-8742"/>
    <s v="B"/>
    <x v="2"/>
    <x v="1"/>
    <s v="Male"/>
    <x v="3"/>
    <n v="34.369999999999997"/>
    <n v="10"/>
    <n v="17.184999999999999"/>
    <n v="360.88499999999999"/>
    <x v="32"/>
    <d v="1899-12-30T10:11:00"/>
    <x v="0"/>
    <x v="475"/>
    <n v="4.7619047620000003"/>
    <n v="17.184999999999999"/>
    <n v="6.7"/>
  </r>
  <r>
    <s v="575-67-1508"/>
    <s v="A"/>
    <x v="0"/>
    <x v="1"/>
    <s v="Male"/>
    <x v="1"/>
    <n v="38.6"/>
    <n v="1"/>
    <n v="1.93"/>
    <n v="40.53"/>
    <x v="71"/>
    <d v="1899-12-30T11:26:00"/>
    <x v="0"/>
    <x v="476"/>
    <n v="4.7619047620000003"/>
    <n v="1.93"/>
    <n v="6.7"/>
  </r>
  <r>
    <s v="541-08-3113"/>
    <s v="C"/>
    <x v="1"/>
    <x v="1"/>
    <s v="Male"/>
    <x v="4"/>
    <n v="65.97"/>
    <n v="8"/>
    <n v="26.388000000000002"/>
    <n v="554.14800000000002"/>
    <x v="30"/>
    <d v="1899-12-30T20:29:00"/>
    <x v="1"/>
    <x v="477"/>
    <n v="4.7619047620000003"/>
    <n v="26.388000000000002"/>
    <n v="8.4"/>
  </r>
  <r>
    <s v="246-11-3901"/>
    <s v="C"/>
    <x v="1"/>
    <x v="1"/>
    <s v="Female"/>
    <x v="1"/>
    <n v="32.799999999999997"/>
    <n v="10"/>
    <n v="16.399999999999999"/>
    <n v="344.4"/>
    <x v="42"/>
    <d v="1899-12-30T12:12:00"/>
    <x v="1"/>
    <x v="478"/>
    <n v="4.7619047620000003"/>
    <n v="16.399999999999999"/>
    <n v="6.2"/>
  </r>
  <r>
    <s v="674-15-9296"/>
    <s v="A"/>
    <x v="0"/>
    <x v="1"/>
    <s v="Male"/>
    <x v="3"/>
    <n v="37.14"/>
    <n v="5"/>
    <n v="9.2850000000000001"/>
    <n v="194.98500000000001"/>
    <x v="66"/>
    <d v="1899-12-30T13:05:00"/>
    <x v="0"/>
    <x v="479"/>
    <n v="4.7619047620000003"/>
    <n v="9.2850000000000001"/>
    <n v="5"/>
  </r>
  <r>
    <s v="305-18-3552"/>
    <s v="B"/>
    <x v="2"/>
    <x v="0"/>
    <s v="Male"/>
    <x v="2"/>
    <n v="60.38"/>
    <n v="10"/>
    <n v="30.19"/>
    <n v="633.99"/>
    <x v="12"/>
    <d v="1899-12-30T16:19:00"/>
    <x v="1"/>
    <x v="480"/>
    <n v="4.7619047620000003"/>
    <n v="30.19"/>
    <n v="6"/>
  </r>
  <r>
    <s v="493-65-6248"/>
    <s v="C"/>
    <x v="1"/>
    <x v="0"/>
    <s v="Female"/>
    <x v="3"/>
    <n v="36.979999999999997"/>
    <n v="10"/>
    <n v="18.489999999999998"/>
    <n v="388.29"/>
    <x v="17"/>
    <d v="1899-12-30T19:48:00"/>
    <x v="2"/>
    <x v="481"/>
    <n v="4.7619047620000003"/>
    <n v="18.489999999999998"/>
    <n v="7"/>
  </r>
  <r>
    <s v="438-01-4015"/>
    <s v="B"/>
    <x v="2"/>
    <x v="0"/>
    <s v="Female"/>
    <x v="3"/>
    <n v="49.49"/>
    <n v="4"/>
    <n v="9.8979999999999997"/>
    <n v="207.858"/>
    <x v="76"/>
    <d v="1899-12-30T15:25:00"/>
    <x v="0"/>
    <x v="482"/>
    <n v="4.7619047620000003"/>
    <n v="9.8979999999999997"/>
    <n v="6.6"/>
  </r>
  <r>
    <s v="709-58-4068"/>
    <s v="B"/>
    <x v="2"/>
    <x v="1"/>
    <s v="Female"/>
    <x v="5"/>
    <n v="41.09"/>
    <n v="10"/>
    <n v="20.545000000000002"/>
    <n v="431.44499999999999"/>
    <x v="38"/>
    <d v="1899-12-30T14:42:00"/>
    <x v="1"/>
    <x v="483"/>
    <n v="4.7619047620000003"/>
    <n v="20.545000000000002"/>
    <n v="7.3"/>
  </r>
  <r>
    <s v="795-49-7276"/>
    <s v="A"/>
    <x v="0"/>
    <x v="1"/>
    <s v="Male"/>
    <x v="5"/>
    <n v="37.15"/>
    <n v="4"/>
    <n v="7.43"/>
    <n v="156.03"/>
    <x v="28"/>
    <d v="1899-12-30T18:59:00"/>
    <x v="0"/>
    <x v="484"/>
    <n v="4.7619047620000003"/>
    <n v="7.43"/>
    <n v="8.3000000000000007"/>
  </r>
  <r>
    <s v="556-72-8512"/>
    <s v="C"/>
    <x v="1"/>
    <x v="1"/>
    <s v="Male"/>
    <x v="2"/>
    <n v="22.96"/>
    <n v="1"/>
    <n v="1.1479999999999999"/>
    <n v="24.108000000000001"/>
    <x v="74"/>
    <d v="1899-12-30T20:47:00"/>
    <x v="1"/>
    <x v="485"/>
    <n v="4.7619047620000003"/>
    <n v="1.1479999999999999"/>
    <n v="4.3"/>
  </r>
  <r>
    <s v="627-95-3243"/>
    <s v="B"/>
    <x v="2"/>
    <x v="0"/>
    <s v="Female"/>
    <x v="2"/>
    <n v="77.680000000000007"/>
    <n v="9"/>
    <n v="34.956000000000003"/>
    <n v="734.07600000000002"/>
    <x v="87"/>
    <d v="1899-12-30T13:21:00"/>
    <x v="0"/>
    <x v="486"/>
    <n v="4.7619047620000003"/>
    <n v="34.956000000000003"/>
    <n v="9.8000000000000007"/>
  </r>
  <r>
    <s v="686-41-0932"/>
    <s v="B"/>
    <x v="2"/>
    <x v="1"/>
    <s v="Female"/>
    <x v="5"/>
    <n v="34.700000000000003"/>
    <n v="2"/>
    <n v="3.47"/>
    <n v="72.87"/>
    <x v="45"/>
    <d v="1899-12-30T19:48:00"/>
    <x v="0"/>
    <x v="487"/>
    <n v="4.7619047620000003"/>
    <n v="3.47"/>
    <n v="8.1999999999999993"/>
  </r>
  <r>
    <s v="510-09-5628"/>
    <s v="A"/>
    <x v="0"/>
    <x v="0"/>
    <s v="Female"/>
    <x v="5"/>
    <n v="19.66"/>
    <n v="10"/>
    <n v="9.83"/>
    <n v="206.43"/>
    <x v="20"/>
    <d v="1899-12-30T18:20:00"/>
    <x v="2"/>
    <x v="488"/>
    <n v="4.7619047620000003"/>
    <n v="9.83"/>
    <n v="7.2"/>
  </r>
  <r>
    <s v="608-04-3797"/>
    <s v="B"/>
    <x v="2"/>
    <x v="0"/>
    <s v="Female"/>
    <x v="0"/>
    <n v="25.32"/>
    <n v="8"/>
    <n v="10.128"/>
    <n v="212.68799999999999"/>
    <x v="19"/>
    <d v="1899-12-30T20:24:00"/>
    <x v="0"/>
    <x v="489"/>
    <n v="4.7619047620000003"/>
    <n v="10.128"/>
    <n v="8.6999999999999993"/>
  </r>
  <r>
    <s v="148-82-2527"/>
    <s v="C"/>
    <x v="1"/>
    <x v="0"/>
    <s v="Female"/>
    <x v="2"/>
    <n v="12.12"/>
    <n v="10"/>
    <n v="6.06"/>
    <n v="127.26"/>
    <x v="19"/>
    <d v="1899-12-30T13:44:00"/>
    <x v="2"/>
    <x v="490"/>
    <n v="4.7619047620000003"/>
    <n v="6.06"/>
    <n v="8.4"/>
  </r>
  <r>
    <s v="437-53-3084"/>
    <s v="B"/>
    <x v="2"/>
    <x v="1"/>
    <s v="Male"/>
    <x v="5"/>
    <n v="99.89"/>
    <n v="2"/>
    <n v="9.9890000000000008"/>
    <n v="209.76900000000001"/>
    <x v="84"/>
    <d v="1899-12-30T11:48:00"/>
    <x v="0"/>
    <x v="491"/>
    <n v="4.7619047620000003"/>
    <n v="9.9890000000000008"/>
    <n v="7.1"/>
  </r>
  <r>
    <s v="632-32-4574"/>
    <s v="B"/>
    <x v="2"/>
    <x v="1"/>
    <s v="Male"/>
    <x v="3"/>
    <n v="75.92"/>
    <n v="8"/>
    <n v="30.367999999999999"/>
    <n v="637.72799999999995"/>
    <x v="80"/>
    <d v="1899-12-30T14:14:00"/>
    <x v="1"/>
    <x v="492"/>
    <n v="4.7619047620000003"/>
    <n v="30.367999999999999"/>
    <n v="5.5"/>
  </r>
  <r>
    <s v="556-97-7101"/>
    <s v="C"/>
    <x v="1"/>
    <x v="1"/>
    <s v="Female"/>
    <x v="1"/>
    <n v="63.22"/>
    <n v="2"/>
    <n v="6.3220000000000001"/>
    <n v="132.762"/>
    <x v="17"/>
    <d v="1899-12-30T15:51:00"/>
    <x v="1"/>
    <x v="493"/>
    <n v="4.7619047620000003"/>
    <n v="6.3220000000000001"/>
    <n v="8.5"/>
  </r>
  <r>
    <s v="862-59-8517"/>
    <s v="C"/>
    <x v="1"/>
    <x v="1"/>
    <s v="Female"/>
    <x v="4"/>
    <n v="90.24"/>
    <n v="6"/>
    <n v="27.071999999999999"/>
    <n v="568.51199999999994"/>
    <x v="3"/>
    <d v="1899-12-30T11:17:00"/>
    <x v="1"/>
    <x v="494"/>
    <n v="4.7619047620000003"/>
    <n v="27.071999999999999"/>
    <n v="6.2"/>
  </r>
  <r>
    <s v="401-18-8016"/>
    <s v="B"/>
    <x v="2"/>
    <x v="0"/>
    <s v="Female"/>
    <x v="3"/>
    <n v="98.13"/>
    <n v="1"/>
    <n v="4.9065000000000003"/>
    <n v="103.0365"/>
    <x v="18"/>
    <d v="1899-12-30T17:36:00"/>
    <x v="1"/>
    <x v="495"/>
    <n v="4.7619047620000003"/>
    <n v="4.9065000000000003"/>
    <n v="8.9"/>
  </r>
  <r>
    <s v="420-18-8989"/>
    <s v="A"/>
    <x v="0"/>
    <x v="0"/>
    <s v="Female"/>
    <x v="3"/>
    <n v="51.52"/>
    <n v="8"/>
    <n v="20.608000000000001"/>
    <n v="432.76799999999997"/>
    <x v="30"/>
    <d v="1899-12-30T15:47:00"/>
    <x v="1"/>
    <x v="496"/>
    <n v="4.7619047620000003"/>
    <n v="20.608000000000001"/>
    <n v="9.6"/>
  </r>
  <r>
    <s v="277-63-2961"/>
    <s v="B"/>
    <x v="2"/>
    <x v="0"/>
    <s v="Male"/>
    <x v="3"/>
    <n v="73.97"/>
    <n v="1"/>
    <n v="3.6985000000000001"/>
    <n v="77.668499999999995"/>
    <x v="36"/>
    <d v="1899-12-30T15:53:00"/>
    <x v="2"/>
    <x v="497"/>
    <n v="4.7619047620000003"/>
    <n v="3.6985000000000001"/>
    <n v="5.4"/>
  </r>
  <r>
    <s v="573-98-8548"/>
    <s v="C"/>
    <x v="1"/>
    <x v="0"/>
    <s v="Female"/>
    <x v="5"/>
    <n v="31.9"/>
    <n v="1"/>
    <n v="1.595"/>
    <n v="33.494999999999997"/>
    <x v="0"/>
    <d v="1899-12-30T12:40:00"/>
    <x v="0"/>
    <x v="498"/>
    <n v="4.7619047620000003"/>
    <n v="1.595"/>
    <n v="9.1"/>
  </r>
  <r>
    <s v="620-02-2046"/>
    <s v="C"/>
    <x v="1"/>
    <x v="1"/>
    <s v="Male"/>
    <x v="2"/>
    <n v="69.400000000000006"/>
    <n v="2"/>
    <n v="6.94"/>
    <n v="145.74"/>
    <x v="3"/>
    <d v="1899-12-30T19:48:00"/>
    <x v="0"/>
    <x v="499"/>
    <n v="4.7619047620000003"/>
    <n v="6.94"/>
    <n v="9"/>
  </r>
  <r>
    <s v="282-35-2475"/>
    <s v="B"/>
    <x v="2"/>
    <x v="1"/>
    <s v="Female"/>
    <x v="3"/>
    <n v="93.31"/>
    <n v="2"/>
    <n v="9.3309999999999995"/>
    <n v="195.95099999999999"/>
    <x v="5"/>
    <d v="1899-12-30T17:53:00"/>
    <x v="1"/>
    <x v="500"/>
    <n v="4.7619047620000003"/>
    <n v="9.3309999999999995"/>
    <n v="6.3"/>
  </r>
  <r>
    <s v="511-54-3087"/>
    <s v="B"/>
    <x v="2"/>
    <x v="1"/>
    <s v="Male"/>
    <x v="3"/>
    <n v="88.45"/>
    <n v="1"/>
    <n v="4.4225000000000003"/>
    <n v="92.872500000000002"/>
    <x v="6"/>
    <d v="1899-12-30T16:36:00"/>
    <x v="2"/>
    <x v="501"/>
    <n v="4.7619047620000003"/>
    <n v="4.4225000000000003"/>
    <n v="9.5"/>
  </r>
  <r>
    <s v="726-29-6793"/>
    <s v="A"/>
    <x v="0"/>
    <x v="0"/>
    <s v="Male"/>
    <x v="1"/>
    <n v="24.18"/>
    <n v="8"/>
    <n v="9.6720000000000006"/>
    <n v="203.11199999999999"/>
    <x v="26"/>
    <d v="1899-12-30T20:54:00"/>
    <x v="0"/>
    <x v="502"/>
    <n v="4.7619047620000003"/>
    <n v="9.6720000000000006"/>
    <n v="9.8000000000000007"/>
  </r>
  <r>
    <s v="387-49-4215"/>
    <s v="B"/>
    <x v="2"/>
    <x v="0"/>
    <s v="Female"/>
    <x v="3"/>
    <n v="48.5"/>
    <n v="3"/>
    <n v="7.2750000000000004"/>
    <n v="152.77500000000001"/>
    <x v="66"/>
    <d v="1899-12-30T12:50:00"/>
    <x v="1"/>
    <x v="503"/>
    <n v="4.7619047620000003"/>
    <n v="7.2750000000000004"/>
    <n v="6.7"/>
  </r>
  <r>
    <s v="862-17-9201"/>
    <s v="B"/>
    <x v="2"/>
    <x v="1"/>
    <s v="Female"/>
    <x v="4"/>
    <n v="84.05"/>
    <n v="6"/>
    <n v="25.215"/>
    <n v="529.51499999999999"/>
    <x v="71"/>
    <d v="1899-12-30T10:48:00"/>
    <x v="2"/>
    <x v="504"/>
    <n v="4.7619047620000003"/>
    <n v="25.215"/>
    <n v="7.7"/>
  </r>
  <r>
    <s v="291-21-5991"/>
    <s v="B"/>
    <x v="2"/>
    <x v="0"/>
    <s v="Male"/>
    <x v="0"/>
    <n v="61.29"/>
    <n v="5"/>
    <n v="15.3225"/>
    <n v="321.77249999999998"/>
    <x v="14"/>
    <d v="1899-12-30T14:28:00"/>
    <x v="1"/>
    <x v="505"/>
    <n v="4.7619047620000003"/>
    <n v="15.3225"/>
    <n v="7"/>
  </r>
  <r>
    <s v="602-80-9671"/>
    <s v="C"/>
    <x v="1"/>
    <x v="0"/>
    <s v="Female"/>
    <x v="2"/>
    <n v="15.95"/>
    <n v="6"/>
    <n v="4.7850000000000001"/>
    <n v="100.485"/>
    <x v="57"/>
    <d v="1899-12-30T17:15:00"/>
    <x v="2"/>
    <x v="506"/>
    <n v="4.7619047620000003"/>
    <n v="4.7850000000000001"/>
    <n v="5.0999999999999996"/>
  </r>
  <r>
    <s v="347-72-6115"/>
    <s v="B"/>
    <x v="2"/>
    <x v="0"/>
    <s v="Female"/>
    <x v="3"/>
    <n v="90.74"/>
    <n v="7"/>
    <n v="31.759"/>
    <n v="666.93899999999996"/>
    <x v="65"/>
    <d v="1899-12-30T18:03:00"/>
    <x v="2"/>
    <x v="507"/>
    <n v="4.7619047620000003"/>
    <n v="31.759"/>
    <n v="6.2"/>
  </r>
  <r>
    <s v="209-61-0206"/>
    <s v="A"/>
    <x v="0"/>
    <x v="1"/>
    <s v="Female"/>
    <x v="2"/>
    <n v="42.91"/>
    <n v="5"/>
    <n v="10.727499999999999"/>
    <n v="225.2775"/>
    <x v="0"/>
    <d v="1899-12-30T17:29:00"/>
    <x v="0"/>
    <x v="508"/>
    <n v="4.7619047620000003"/>
    <n v="10.727499999999999"/>
    <n v="6.1"/>
  </r>
  <r>
    <s v="595-27-4851"/>
    <s v="A"/>
    <x v="0"/>
    <x v="1"/>
    <s v="Female"/>
    <x v="5"/>
    <n v="54.28"/>
    <n v="7"/>
    <n v="18.998000000000001"/>
    <n v="398.95800000000003"/>
    <x v="3"/>
    <d v="1899-12-30T18:05:00"/>
    <x v="0"/>
    <x v="509"/>
    <n v="4.7619047620000003"/>
    <n v="18.998000000000001"/>
    <n v="9.3000000000000007"/>
  </r>
  <r>
    <s v="189-52-0236"/>
    <s v="A"/>
    <x v="0"/>
    <x v="1"/>
    <s v="Male"/>
    <x v="1"/>
    <n v="99.55"/>
    <n v="7"/>
    <n v="34.842500000000001"/>
    <n v="731.6925"/>
    <x v="86"/>
    <d v="1899-12-30T12:07:00"/>
    <x v="1"/>
    <x v="510"/>
    <n v="4.7619047620000003"/>
    <n v="34.842500000000001"/>
    <n v="7.6"/>
  </r>
  <r>
    <s v="503-07-0930"/>
    <s v="C"/>
    <x v="1"/>
    <x v="0"/>
    <s v="Male"/>
    <x v="3"/>
    <n v="58.39"/>
    <n v="7"/>
    <n v="20.436499999999999"/>
    <n v="429.16649999999998"/>
    <x v="55"/>
    <d v="1899-12-30T19:49:00"/>
    <x v="2"/>
    <x v="511"/>
    <n v="4.7619047620000003"/>
    <n v="20.436499999999999"/>
    <n v="8.1999999999999993"/>
  </r>
  <r>
    <s v="413-20-6708"/>
    <s v="C"/>
    <x v="1"/>
    <x v="0"/>
    <s v="Female"/>
    <x v="5"/>
    <n v="51.47"/>
    <n v="1"/>
    <n v="2.5735000000000001"/>
    <n v="54.043500000000002"/>
    <x v="79"/>
    <d v="1899-12-30T15:52:00"/>
    <x v="0"/>
    <x v="512"/>
    <n v="4.7619047620000003"/>
    <n v="2.5735000000000001"/>
    <n v="8.5"/>
  </r>
  <r>
    <s v="425-85-2085"/>
    <s v="B"/>
    <x v="2"/>
    <x v="0"/>
    <s v="Male"/>
    <x v="0"/>
    <n v="54.86"/>
    <n v="5"/>
    <n v="13.715"/>
    <n v="288.01499999999999"/>
    <x v="14"/>
    <d v="1899-12-30T16:48:00"/>
    <x v="0"/>
    <x v="513"/>
    <n v="4.7619047620000003"/>
    <n v="13.715"/>
    <n v="9.8000000000000007"/>
  </r>
  <r>
    <s v="521-18-7827"/>
    <s v="C"/>
    <x v="1"/>
    <x v="0"/>
    <s v="Male"/>
    <x v="2"/>
    <n v="39.39"/>
    <n v="5"/>
    <n v="9.8475000000000001"/>
    <n v="206.79750000000001"/>
    <x v="49"/>
    <d v="1899-12-30T20:46:00"/>
    <x v="2"/>
    <x v="514"/>
    <n v="4.7619047620000003"/>
    <n v="9.8475000000000001"/>
    <n v="8.6999999999999993"/>
  </r>
  <r>
    <s v="220-28-1851"/>
    <s v="A"/>
    <x v="0"/>
    <x v="1"/>
    <s v="Male"/>
    <x v="2"/>
    <n v="34.729999999999997"/>
    <n v="2"/>
    <n v="3.4729999999999999"/>
    <n v="72.933000000000007"/>
    <x v="59"/>
    <d v="1899-12-30T18:14:00"/>
    <x v="0"/>
    <x v="515"/>
    <n v="4.7619047620000003"/>
    <n v="3.4729999999999999"/>
    <n v="9.6999999999999993"/>
  </r>
  <r>
    <s v="600-38-9738"/>
    <s v="C"/>
    <x v="1"/>
    <x v="0"/>
    <s v="Male"/>
    <x v="3"/>
    <n v="71.92"/>
    <n v="5"/>
    <n v="17.98"/>
    <n v="377.58"/>
    <x v="29"/>
    <d v="1899-12-30T15:05:00"/>
    <x v="2"/>
    <x v="516"/>
    <n v="4.7619047620000003"/>
    <n v="17.98"/>
    <n v="4.3"/>
  </r>
  <r>
    <s v="734-91-1155"/>
    <s v="B"/>
    <x v="2"/>
    <x v="1"/>
    <s v="Female"/>
    <x v="1"/>
    <n v="45.71"/>
    <n v="3"/>
    <n v="6.8564999999999996"/>
    <n v="143.98650000000001"/>
    <x v="58"/>
    <d v="1899-12-30T10:34:00"/>
    <x v="2"/>
    <x v="517"/>
    <n v="4.7619047620000003"/>
    <n v="6.8564999999999996"/>
    <n v="7.7"/>
  </r>
  <r>
    <s v="451-28-5717"/>
    <s v="C"/>
    <x v="1"/>
    <x v="0"/>
    <s v="Female"/>
    <x v="2"/>
    <n v="83.17"/>
    <n v="6"/>
    <n v="24.951000000000001"/>
    <n v="523.971"/>
    <x v="80"/>
    <d v="1899-12-30T11:23:00"/>
    <x v="1"/>
    <x v="518"/>
    <n v="4.7619047620000003"/>
    <n v="24.951000000000001"/>
    <n v="7.3"/>
  </r>
  <r>
    <s v="609-81-8548"/>
    <s v="A"/>
    <x v="0"/>
    <x v="0"/>
    <s v="Female"/>
    <x v="2"/>
    <n v="37.44"/>
    <n v="6"/>
    <n v="11.231999999999999"/>
    <n v="235.87200000000001"/>
    <x v="10"/>
    <d v="1899-12-30T13:55:00"/>
    <x v="2"/>
    <x v="519"/>
    <n v="4.7619047620000003"/>
    <n v="11.231999999999999"/>
    <n v="5.9"/>
  </r>
  <r>
    <s v="133-14-7229"/>
    <s v="C"/>
    <x v="1"/>
    <x v="1"/>
    <s v="Male"/>
    <x v="0"/>
    <n v="62.87"/>
    <n v="2"/>
    <n v="6.2869999999999999"/>
    <n v="132.02699999999999"/>
    <x v="17"/>
    <d v="1899-12-30T11:43:00"/>
    <x v="1"/>
    <x v="520"/>
    <n v="4.7619047620000003"/>
    <n v="6.2869999999999999"/>
    <n v="5"/>
  </r>
  <r>
    <s v="534-01-4457"/>
    <s v="A"/>
    <x v="0"/>
    <x v="1"/>
    <s v="Male"/>
    <x v="4"/>
    <n v="81.709999999999994"/>
    <n v="6"/>
    <n v="24.513000000000002"/>
    <n v="514.77300000000002"/>
    <x v="3"/>
    <d v="1899-12-30T14:36:00"/>
    <x v="2"/>
    <x v="521"/>
    <n v="4.7619047620000003"/>
    <n v="24.513000000000002"/>
    <n v="8"/>
  </r>
  <r>
    <s v="719-89-8991"/>
    <s v="A"/>
    <x v="0"/>
    <x v="0"/>
    <s v="Female"/>
    <x v="3"/>
    <n v="91.41"/>
    <n v="5"/>
    <n v="22.852499999999999"/>
    <n v="479.90249999999997"/>
    <x v="6"/>
    <d v="1899-12-30T16:03:00"/>
    <x v="0"/>
    <x v="522"/>
    <n v="4.7619047620000003"/>
    <n v="22.852499999999999"/>
    <n v="7.1"/>
  </r>
  <r>
    <s v="286-62-6248"/>
    <s v="B"/>
    <x v="2"/>
    <x v="1"/>
    <s v="Male"/>
    <x v="5"/>
    <n v="39.21"/>
    <n v="4"/>
    <n v="7.8419999999999996"/>
    <n v="164.68199999999999"/>
    <x v="65"/>
    <d v="1899-12-30T20:03:00"/>
    <x v="2"/>
    <x v="523"/>
    <n v="4.7619047620000003"/>
    <n v="7.8419999999999996"/>
    <n v="9"/>
  </r>
  <r>
    <s v="339-38-9982"/>
    <s v="B"/>
    <x v="2"/>
    <x v="0"/>
    <s v="Male"/>
    <x v="5"/>
    <n v="59.86"/>
    <n v="2"/>
    <n v="5.9859999999999998"/>
    <n v="125.706"/>
    <x v="50"/>
    <d v="1899-12-30T14:55:00"/>
    <x v="0"/>
    <x v="524"/>
    <n v="4.7619047620000003"/>
    <n v="5.9859999999999998"/>
    <n v="6.7"/>
  </r>
  <r>
    <s v="827-44-5872"/>
    <s v="B"/>
    <x v="2"/>
    <x v="0"/>
    <s v="Female"/>
    <x v="4"/>
    <n v="54.36"/>
    <n v="10"/>
    <n v="27.18"/>
    <n v="570.78"/>
    <x v="13"/>
    <d v="1899-12-30T11:28:00"/>
    <x v="2"/>
    <x v="525"/>
    <n v="4.7619047620000003"/>
    <n v="27.18"/>
    <n v="6.1"/>
  </r>
  <r>
    <s v="827-77-7633"/>
    <s v="A"/>
    <x v="0"/>
    <x v="1"/>
    <s v="Male"/>
    <x v="3"/>
    <n v="98.09"/>
    <n v="9"/>
    <n v="44.140500000000003"/>
    <n v="926.95050000000003"/>
    <x v="21"/>
    <d v="1899-12-30T19:41:00"/>
    <x v="1"/>
    <x v="526"/>
    <n v="4.7619047620000003"/>
    <n v="44.140500000000003"/>
    <n v="9.3000000000000007"/>
  </r>
  <r>
    <s v="287-83-1405"/>
    <s v="A"/>
    <x v="0"/>
    <x v="1"/>
    <s v="Male"/>
    <x v="0"/>
    <n v="25.43"/>
    <n v="6"/>
    <n v="7.6289999999999996"/>
    <n v="160.209"/>
    <x v="12"/>
    <d v="1899-12-30T19:01:00"/>
    <x v="0"/>
    <x v="527"/>
    <n v="4.7619047620000003"/>
    <n v="7.6289999999999996"/>
    <n v="7"/>
  </r>
  <r>
    <s v="435-13-4908"/>
    <s v="A"/>
    <x v="0"/>
    <x v="0"/>
    <s v="Male"/>
    <x v="5"/>
    <n v="86.68"/>
    <n v="8"/>
    <n v="34.671999999999997"/>
    <n v="728.11199999999997"/>
    <x v="46"/>
    <d v="1899-12-30T18:04:00"/>
    <x v="2"/>
    <x v="528"/>
    <n v="4.7619047620000003"/>
    <n v="34.671999999999997"/>
    <n v="7.2"/>
  </r>
  <r>
    <s v="857-67-9057"/>
    <s v="B"/>
    <x v="2"/>
    <x v="1"/>
    <s v="Male"/>
    <x v="1"/>
    <n v="22.95"/>
    <n v="10"/>
    <n v="11.475"/>
    <n v="240.97499999999999"/>
    <x v="10"/>
    <d v="1899-12-30T19:20:00"/>
    <x v="0"/>
    <x v="529"/>
    <n v="4.7619047620000003"/>
    <n v="11.475"/>
    <n v="8.1999999999999993"/>
  </r>
  <r>
    <s v="236-27-1144"/>
    <s v="C"/>
    <x v="1"/>
    <x v="1"/>
    <s v="Female"/>
    <x v="4"/>
    <n v="16.309999999999999"/>
    <n v="9"/>
    <n v="7.3395000000000001"/>
    <n v="154.12950000000001"/>
    <x v="58"/>
    <d v="1899-12-30T10:31:00"/>
    <x v="0"/>
    <x v="530"/>
    <n v="4.7619047620000003"/>
    <n v="7.3395000000000001"/>
    <n v="8.4"/>
  </r>
  <r>
    <s v="892-05-6689"/>
    <s v="A"/>
    <x v="0"/>
    <x v="1"/>
    <s v="Female"/>
    <x v="2"/>
    <n v="28.32"/>
    <n v="5"/>
    <n v="7.08"/>
    <n v="148.68"/>
    <x v="16"/>
    <d v="1899-12-30T13:28:00"/>
    <x v="0"/>
    <x v="531"/>
    <n v="4.7619047620000003"/>
    <n v="7.08"/>
    <n v="6.2"/>
  </r>
  <r>
    <s v="583-41-4548"/>
    <s v="C"/>
    <x v="1"/>
    <x v="1"/>
    <s v="Male"/>
    <x v="2"/>
    <n v="16.670000000000002"/>
    <n v="7"/>
    <n v="5.8345000000000002"/>
    <n v="122.5245"/>
    <x v="13"/>
    <d v="1899-12-30T11:36:00"/>
    <x v="0"/>
    <x v="532"/>
    <n v="4.7619047620000003"/>
    <n v="5.8345000000000002"/>
    <n v="7.4"/>
  </r>
  <r>
    <s v="339-12-4827"/>
    <s v="B"/>
    <x v="2"/>
    <x v="0"/>
    <s v="Female"/>
    <x v="5"/>
    <n v="73.959999999999994"/>
    <n v="1"/>
    <n v="3.698"/>
    <n v="77.658000000000001"/>
    <x v="0"/>
    <d v="1899-12-30T11:32:00"/>
    <x v="2"/>
    <x v="533"/>
    <n v="4.7619047620000003"/>
    <n v="3.698"/>
    <n v="5"/>
  </r>
  <r>
    <s v="643-38-7867"/>
    <s v="A"/>
    <x v="0"/>
    <x v="1"/>
    <s v="Male"/>
    <x v="2"/>
    <n v="97.94"/>
    <n v="1"/>
    <n v="4.8970000000000002"/>
    <n v="102.837"/>
    <x v="37"/>
    <d v="1899-12-30T11:44:00"/>
    <x v="0"/>
    <x v="534"/>
    <n v="4.7619047620000003"/>
    <n v="4.8970000000000002"/>
    <n v="6.9"/>
  </r>
  <r>
    <s v="308-81-0538"/>
    <s v="A"/>
    <x v="0"/>
    <x v="1"/>
    <s v="Female"/>
    <x v="5"/>
    <n v="73.05"/>
    <n v="4"/>
    <n v="14.61"/>
    <n v="306.81"/>
    <x v="6"/>
    <d v="1899-12-30T17:16:00"/>
    <x v="2"/>
    <x v="535"/>
    <n v="4.7619047620000003"/>
    <n v="14.61"/>
    <n v="4.9000000000000004"/>
  </r>
  <r>
    <s v="358-88-9262"/>
    <s v="C"/>
    <x v="1"/>
    <x v="0"/>
    <s v="Female"/>
    <x v="4"/>
    <n v="87.48"/>
    <n v="6"/>
    <n v="26.244"/>
    <n v="551.12400000000002"/>
    <x v="60"/>
    <d v="1899-12-30T18:43:00"/>
    <x v="0"/>
    <x v="536"/>
    <n v="4.7619047620000003"/>
    <n v="26.244"/>
    <n v="5.0999999999999996"/>
  </r>
  <r>
    <s v="460-35-4390"/>
    <s v="A"/>
    <x v="0"/>
    <x v="1"/>
    <s v="Male"/>
    <x v="2"/>
    <n v="30.68"/>
    <n v="3"/>
    <n v="4.6020000000000003"/>
    <n v="96.641999999999996"/>
    <x v="49"/>
    <d v="1899-12-30T11:00:00"/>
    <x v="0"/>
    <x v="537"/>
    <n v="4.7619047620000003"/>
    <n v="4.6020000000000003"/>
    <n v="9.1"/>
  </r>
  <r>
    <s v="343-87-0864"/>
    <s v="C"/>
    <x v="1"/>
    <x v="0"/>
    <s v="Male"/>
    <x v="0"/>
    <n v="75.88"/>
    <n v="1"/>
    <n v="3.794"/>
    <n v="79.674000000000007"/>
    <x v="75"/>
    <d v="1899-12-30T10:30:00"/>
    <x v="2"/>
    <x v="538"/>
    <n v="4.7619047620000003"/>
    <n v="3.794"/>
    <n v="7.1"/>
  </r>
  <r>
    <s v="173-50-1108"/>
    <s v="B"/>
    <x v="2"/>
    <x v="0"/>
    <s v="Female"/>
    <x v="3"/>
    <n v="20.18"/>
    <n v="4"/>
    <n v="4.0359999999999996"/>
    <n v="84.756"/>
    <x v="77"/>
    <d v="1899-12-30T12:14:00"/>
    <x v="2"/>
    <x v="539"/>
    <n v="4.7619047620000003"/>
    <n v="4.0359999999999996"/>
    <n v="5"/>
  </r>
  <r>
    <s v="243-47-2663"/>
    <s v="C"/>
    <x v="1"/>
    <x v="0"/>
    <s v="Male"/>
    <x v="1"/>
    <n v="18.77"/>
    <n v="6"/>
    <n v="5.6310000000000002"/>
    <n v="118.251"/>
    <x v="26"/>
    <d v="1899-12-30T16:43:00"/>
    <x v="2"/>
    <x v="540"/>
    <n v="4.7619047620000003"/>
    <n v="5.6310000000000002"/>
    <n v="5.5"/>
  </r>
  <r>
    <s v="841-18-8232"/>
    <s v="B"/>
    <x v="2"/>
    <x v="1"/>
    <s v="Female"/>
    <x v="4"/>
    <n v="71.2"/>
    <n v="1"/>
    <n v="3.56"/>
    <n v="74.760000000000005"/>
    <x v="0"/>
    <d v="1899-12-30T20:40:00"/>
    <x v="2"/>
    <x v="541"/>
    <n v="4.7619047620000003"/>
    <n v="3.56"/>
    <n v="9.1999999999999993"/>
  </r>
  <r>
    <s v="701-23-5550"/>
    <s v="B"/>
    <x v="2"/>
    <x v="0"/>
    <s v="Male"/>
    <x v="2"/>
    <n v="38.81"/>
    <n v="4"/>
    <n v="7.7619999999999996"/>
    <n v="163.00200000000001"/>
    <x v="35"/>
    <d v="1899-12-30T13:40:00"/>
    <x v="0"/>
    <x v="542"/>
    <n v="4.7619047620000003"/>
    <n v="7.7619999999999996"/>
    <n v="4.9000000000000004"/>
  </r>
  <r>
    <s v="647-50-1224"/>
    <s v="A"/>
    <x v="0"/>
    <x v="1"/>
    <s v="Female"/>
    <x v="5"/>
    <n v="29.42"/>
    <n v="10"/>
    <n v="14.71"/>
    <n v="308.91000000000003"/>
    <x v="52"/>
    <d v="1899-12-30T16:23:00"/>
    <x v="0"/>
    <x v="543"/>
    <n v="4.7619047620000003"/>
    <n v="14.71"/>
    <n v="8.9"/>
  </r>
  <r>
    <s v="541-48-8554"/>
    <s v="A"/>
    <x v="0"/>
    <x v="1"/>
    <s v="Male"/>
    <x v="3"/>
    <n v="60.95"/>
    <n v="9"/>
    <n v="27.427499999999998"/>
    <n v="575.97749999999996"/>
    <x v="27"/>
    <d v="1899-12-30T12:08:00"/>
    <x v="2"/>
    <x v="544"/>
    <n v="4.7619047620000003"/>
    <n v="27.427499999999998"/>
    <n v="6"/>
  </r>
  <r>
    <s v="539-21-7227"/>
    <s v="B"/>
    <x v="2"/>
    <x v="1"/>
    <s v="Female"/>
    <x v="3"/>
    <n v="51.54"/>
    <n v="5"/>
    <n v="12.885"/>
    <n v="270.58499999999998"/>
    <x v="53"/>
    <d v="1899-12-30T17:45:00"/>
    <x v="1"/>
    <x v="545"/>
    <n v="4.7619047620000003"/>
    <n v="12.885"/>
    <n v="4.2"/>
  </r>
  <r>
    <s v="213-32-1216"/>
    <s v="A"/>
    <x v="0"/>
    <x v="1"/>
    <s v="Female"/>
    <x v="1"/>
    <n v="66.06"/>
    <n v="6"/>
    <n v="19.818000000000001"/>
    <n v="416.178"/>
    <x v="54"/>
    <d v="1899-12-30T10:28:00"/>
    <x v="1"/>
    <x v="546"/>
    <n v="4.7619047620000003"/>
    <n v="19.818000000000001"/>
    <n v="7.3"/>
  </r>
  <r>
    <s v="747-58-7183"/>
    <s v="B"/>
    <x v="2"/>
    <x v="1"/>
    <s v="Male"/>
    <x v="5"/>
    <n v="57.27"/>
    <n v="3"/>
    <n v="8.5905000000000005"/>
    <n v="180.40049999999999"/>
    <x v="57"/>
    <d v="1899-12-30T20:31:00"/>
    <x v="0"/>
    <x v="547"/>
    <n v="4.7619047620000003"/>
    <n v="8.5905000000000005"/>
    <n v="6.5"/>
  </r>
  <r>
    <s v="582-52-8065"/>
    <s v="B"/>
    <x v="2"/>
    <x v="1"/>
    <s v="Female"/>
    <x v="5"/>
    <n v="54.31"/>
    <n v="9"/>
    <n v="24.439499999999999"/>
    <n v="513.22950000000003"/>
    <x v="70"/>
    <d v="1899-12-30T10:49:00"/>
    <x v="1"/>
    <x v="548"/>
    <n v="4.7619047620000003"/>
    <n v="24.439499999999999"/>
    <n v="8.9"/>
  </r>
  <r>
    <s v="210-57-1719"/>
    <s v="B"/>
    <x v="2"/>
    <x v="1"/>
    <s v="Female"/>
    <x v="0"/>
    <n v="58.24"/>
    <n v="9"/>
    <n v="26.207999999999998"/>
    <n v="550.36800000000005"/>
    <x v="63"/>
    <d v="1899-12-30T12:34:00"/>
    <x v="1"/>
    <x v="549"/>
    <n v="4.7619047620000003"/>
    <n v="26.207999999999998"/>
    <n v="9.6999999999999993"/>
  </r>
  <r>
    <s v="399-69-4630"/>
    <s v="C"/>
    <x v="1"/>
    <x v="1"/>
    <s v="Male"/>
    <x v="1"/>
    <n v="22.21"/>
    <n v="6"/>
    <n v="6.6630000000000003"/>
    <n v="139.923"/>
    <x v="37"/>
    <d v="1899-12-30T10:23:00"/>
    <x v="2"/>
    <x v="550"/>
    <n v="4.7619047620000003"/>
    <n v="6.6630000000000003"/>
    <n v="8.6"/>
  </r>
  <r>
    <s v="134-75-2619"/>
    <s v="A"/>
    <x v="0"/>
    <x v="0"/>
    <s v="Male"/>
    <x v="1"/>
    <n v="19.32"/>
    <n v="7"/>
    <n v="6.7619999999999996"/>
    <n v="142.00200000000001"/>
    <x v="5"/>
    <d v="1899-12-30T18:51:00"/>
    <x v="1"/>
    <x v="551"/>
    <n v="4.7619047620000003"/>
    <n v="6.7619999999999996"/>
    <n v="6.9"/>
  </r>
  <r>
    <s v="356-44-8813"/>
    <s v="B"/>
    <x v="2"/>
    <x v="1"/>
    <s v="Male"/>
    <x v="2"/>
    <n v="37.479999999999997"/>
    <n v="3"/>
    <n v="5.6219999999999999"/>
    <n v="118.062"/>
    <x v="40"/>
    <d v="1899-12-30T13:45:00"/>
    <x v="2"/>
    <x v="552"/>
    <n v="4.7619047620000003"/>
    <n v="5.6219999999999999"/>
    <n v="7.7"/>
  </r>
  <r>
    <s v="198-66-9832"/>
    <s v="B"/>
    <x v="2"/>
    <x v="0"/>
    <s v="Female"/>
    <x v="5"/>
    <n v="72.040000000000006"/>
    <n v="2"/>
    <n v="7.2039999999999997"/>
    <n v="151.28399999999999"/>
    <x v="87"/>
    <d v="1899-12-30T19:38:00"/>
    <x v="1"/>
    <x v="553"/>
    <n v="4.7619047620000003"/>
    <n v="7.2039999999999997"/>
    <n v="9.5"/>
  </r>
  <r>
    <s v="283-26-5248"/>
    <s v="C"/>
    <x v="1"/>
    <x v="0"/>
    <s v="Female"/>
    <x v="4"/>
    <n v="98.52"/>
    <n v="10"/>
    <n v="49.26"/>
    <n v="1034.46"/>
    <x v="74"/>
    <d v="1899-12-30T20:23:00"/>
    <x v="0"/>
    <x v="554"/>
    <n v="4.7619047620000003"/>
    <n v="49.26"/>
    <n v="4.5"/>
  </r>
  <r>
    <s v="712-39-0363"/>
    <s v="A"/>
    <x v="0"/>
    <x v="0"/>
    <s v="Male"/>
    <x v="4"/>
    <n v="41.66"/>
    <n v="6"/>
    <n v="12.497999999999999"/>
    <n v="262.45800000000003"/>
    <x v="56"/>
    <d v="1899-12-30T15:24:00"/>
    <x v="0"/>
    <x v="555"/>
    <n v="4.7619047620000003"/>
    <n v="12.497999999999999"/>
    <n v="5.6"/>
  </r>
  <r>
    <s v="218-59-9410"/>
    <s v="A"/>
    <x v="0"/>
    <x v="0"/>
    <s v="Female"/>
    <x v="2"/>
    <n v="72.42"/>
    <n v="3"/>
    <n v="10.863"/>
    <n v="228.12299999999999"/>
    <x v="14"/>
    <d v="1899-12-30T16:54:00"/>
    <x v="0"/>
    <x v="556"/>
    <n v="4.7619047620000003"/>
    <n v="10.863"/>
    <n v="8.1999999999999993"/>
  </r>
  <r>
    <s v="174-75-0888"/>
    <s v="B"/>
    <x v="2"/>
    <x v="1"/>
    <s v="Male"/>
    <x v="1"/>
    <n v="21.58"/>
    <n v="9"/>
    <n v="9.7110000000000003"/>
    <n v="203.93100000000001"/>
    <x v="86"/>
    <d v="1899-12-30T12:32:00"/>
    <x v="1"/>
    <x v="557"/>
    <n v="4.7619047620000003"/>
    <n v="9.7110000000000003"/>
    <n v="7.3"/>
  </r>
  <r>
    <s v="866-99-7614"/>
    <s v="C"/>
    <x v="1"/>
    <x v="1"/>
    <s v="Male"/>
    <x v="4"/>
    <n v="89.2"/>
    <n v="10"/>
    <n v="44.6"/>
    <n v="936.6"/>
    <x v="48"/>
    <d v="1899-12-30T15:42:00"/>
    <x v="2"/>
    <x v="558"/>
    <n v="4.7619047620000003"/>
    <n v="44.6"/>
    <n v="4.4000000000000004"/>
  </r>
  <r>
    <s v="134-54-4720"/>
    <s v="B"/>
    <x v="2"/>
    <x v="1"/>
    <s v="Female"/>
    <x v="1"/>
    <n v="42.42"/>
    <n v="8"/>
    <n v="16.968"/>
    <n v="356.32799999999997"/>
    <x v="74"/>
    <d v="1899-12-30T13:58:00"/>
    <x v="0"/>
    <x v="559"/>
    <n v="4.7619047620000003"/>
    <n v="16.968"/>
    <n v="5.7"/>
  </r>
  <r>
    <s v="760-90-2357"/>
    <s v="A"/>
    <x v="0"/>
    <x v="0"/>
    <s v="Male"/>
    <x v="1"/>
    <n v="74.510000000000005"/>
    <n v="6"/>
    <n v="22.353000000000002"/>
    <n v="469.41300000000001"/>
    <x v="80"/>
    <d v="1899-12-30T15:08:00"/>
    <x v="0"/>
    <x v="560"/>
    <n v="4.7619047620000003"/>
    <n v="22.353000000000002"/>
    <n v="5"/>
  </r>
  <r>
    <s v="514-37-2845"/>
    <s v="B"/>
    <x v="2"/>
    <x v="1"/>
    <s v="Male"/>
    <x v="5"/>
    <n v="99.25"/>
    <n v="2"/>
    <n v="9.9250000000000007"/>
    <n v="208.42500000000001"/>
    <x v="80"/>
    <d v="1899-12-30T13:02:00"/>
    <x v="1"/>
    <x v="561"/>
    <n v="4.7619047620000003"/>
    <n v="9.9250000000000007"/>
    <n v="9"/>
  </r>
  <r>
    <s v="698-98-5964"/>
    <s v="A"/>
    <x v="0"/>
    <x v="1"/>
    <s v="Female"/>
    <x v="4"/>
    <n v="81.209999999999994"/>
    <n v="10"/>
    <n v="40.604999999999997"/>
    <n v="852.70500000000004"/>
    <x v="29"/>
    <d v="1899-12-30T13:01:00"/>
    <x v="2"/>
    <x v="562"/>
    <n v="4.7619047620000003"/>
    <n v="40.604999999999997"/>
    <n v="6.3"/>
  </r>
  <r>
    <s v="718-57-9773"/>
    <s v="C"/>
    <x v="1"/>
    <x v="1"/>
    <s v="Female"/>
    <x v="3"/>
    <n v="49.33"/>
    <n v="10"/>
    <n v="24.664999999999999"/>
    <n v="517.96500000000003"/>
    <x v="36"/>
    <d v="1899-12-30T16:40:00"/>
    <x v="2"/>
    <x v="563"/>
    <n v="4.7619047620000003"/>
    <n v="24.664999999999999"/>
    <n v="9.4"/>
  </r>
  <r>
    <s v="651-88-7328"/>
    <s v="A"/>
    <x v="0"/>
    <x v="1"/>
    <s v="Female"/>
    <x v="5"/>
    <n v="65.739999999999995"/>
    <n v="9"/>
    <n v="29.582999999999998"/>
    <n v="621.24300000000005"/>
    <x v="17"/>
    <d v="1899-12-30T13:55:00"/>
    <x v="1"/>
    <x v="564"/>
    <n v="4.7619047620000003"/>
    <n v="29.582999999999998"/>
    <n v="7.7"/>
  </r>
  <r>
    <s v="241-11-2261"/>
    <s v="B"/>
    <x v="2"/>
    <x v="1"/>
    <s v="Female"/>
    <x v="5"/>
    <n v="79.86"/>
    <n v="7"/>
    <n v="27.951000000000001"/>
    <n v="586.971"/>
    <x v="8"/>
    <d v="1899-12-30T10:33:00"/>
    <x v="2"/>
    <x v="565"/>
    <n v="4.7619047620000003"/>
    <n v="27.951000000000001"/>
    <n v="5.5"/>
  </r>
  <r>
    <s v="408-26-9866"/>
    <s v="C"/>
    <x v="1"/>
    <x v="1"/>
    <s v="Female"/>
    <x v="3"/>
    <n v="73.98"/>
    <n v="7"/>
    <n v="25.893000000000001"/>
    <n v="543.75300000000004"/>
    <x v="22"/>
    <d v="1899-12-30T16:42:00"/>
    <x v="0"/>
    <x v="566"/>
    <n v="4.7619047620000003"/>
    <n v="25.893000000000001"/>
    <n v="4.0999999999999996"/>
  </r>
  <r>
    <s v="834-83-1826"/>
    <s v="B"/>
    <x v="2"/>
    <x v="0"/>
    <s v="Female"/>
    <x v="2"/>
    <n v="82.04"/>
    <n v="5"/>
    <n v="20.51"/>
    <n v="430.71"/>
    <x v="6"/>
    <d v="1899-12-30T17:16:00"/>
    <x v="2"/>
    <x v="567"/>
    <n v="4.7619047620000003"/>
    <n v="20.51"/>
    <n v="7.6"/>
  </r>
  <r>
    <s v="343-61-3544"/>
    <s v="B"/>
    <x v="2"/>
    <x v="0"/>
    <s v="Male"/>
    <x v="3"/>
    <n v="26.67"/>
    <n v="10"/>
    <n v="13.335000000000001"/>
    <n v="280.03500000000003"/>
    <x v="71"/>
    <d v="1899-12-30T11:48:00"/>
    <x v="1"/>
    <x v="568"/>
    <n v="4.7619047620000003"/>
    <n v="13.335000000000001"/>
    <n v="8.6"/>
  </r>
  <r>
    <s v="239-48-4278"/>
    <s v="A"/>
    <x v="0"/>
    <x v="0"/>
    <s v="Male"/>
    <x v="4"/>
    <n v="10.130000000000001"/>
    <n v="7"/>
    <n v="3.5455000000000001"/>
    <n v="74.455500000000001"/>
    <x v="24"/>
    <d v="1899-12-30T19:35:00"/>
    <x v="0"/>
    <x v="569"/>
    <n v="4.7619047620000003"/>
    <n v="3.5455000000000001"/>
    <n v="8.3000000000000007"/>
  </r>
  <r>
    <s v="355-34-6244"/>
    <s v="B"/>
    <x v="2"/>
    <x v="1"/>
    <s v="Male"/>
    <x v="4"/>
    <n v="72.39"/>
    <n v="2"/>
    <n v="7.2389999999999999"/>
    <n v="152.01900000000001"/>
    <x v="50"/>
    <d v="1899-12-30T19:55:00"/>
    <x v="2"/>
    <x v="570"/>
    <n v="4.7619047620000003"/>
    <n v="7.2389999999999999"/>
    <n v="8.1"/>
  </r>
  <r>
    <s v="550-84-8664"/>
    <s v="A"/>
    <x v="0"/>
    <x v="1"/>
    <s v="Male"/>
    <x v="3"/>
    <n v="85.91"/>
    <n v="5"/>
    <n v="21.477499999999999"/>
    <n v="451.02749999999997"/>
    <x v="23"/>
    <d v="1899-12-30T14:33:00"/>
    <x v="2"/>
    <x v="571"/>
    <n v="4.7619047620000003"/>
    <n v="21.477499999999999"/>
    <n v="8.6"/>
  </r>
  <r>
    <s v="339-96-8318"/>
    <s v="B"/>
    <x v="2"/>
    <x v="0"/>
    <s v="Male"/>
    <x v="5"/>
    <n v="81.31"/>
    <n v="7"/>
    <n v="28.458500000000001"/>
    <n v="597.62850000000003"/>
    <x v="59"/>
    <d v="1899-12-30T19:49:00"/>
    <x v="0"/>
    <x v="572"/>
    <n v="4.7619047620000003"/>
    <n v="28.458500000000001"/>
    <n v="6.3"/>
  </r>
  <r>
    <s v="458-61-0011"/>
    <s v="B"/>
    <x v="2"/>
    <x v="1"/>
    <s v="Male"/>
    <x v="4"/>
    <n v="60.3"/>
    <n v="4"/>
    <n v="12.06"/>
    <n v="253.26"/>
    <x v="9"/>
    <d v="1899-12-30T18:43:00"/>
    <x v="1"/>
    <x v="573"/>
    <n v="4.7619047620000003"/>
    <n v="12.06"/>
    <n v="5.8"/>
  </r>
  <r>
    <s v="592-34-6155"/>
    <s v="C"/>
    <x v="1"/>
    <x v="1"/>
    <s v="Male"/>
    <x v="4"/>
    <n v="31.77"/>
    <n v="4"/>
    <n v="6.3540000000000001"/>
    <n v="133.434"/>
    <x v="78"/>
    <d v="1899-12-30T14:43:00"/>
    <x v="0"/>
    <x v="574"/>
    <n v="4.7619047620000003"/>
    <n v="6.3540000000000001"/>
    <n v="6.2"/>
  </r>
  <r>
    <s v="797-88-0493"/>
    <s v="A"/>
    <x v="0"/>
    <x v="1"/>
    <s v="Female"/>
    <x v="0"/>
    <n v="64.27"/>
    <n v="4"/>
    <n v="12.853999999999999"/>
    <n v="269.93400000000003"/>
    <x v="58"/>
    <d v="1899-12-30T13:54:00"/>
    <x v="1"/>
    <x v="575"/>
    <n v="4.7619047620000003"/>
    <n v="12.853999999999999"/>
    <n v="7.7"/>
  </r>
  <r>
    <s v="207-73-1363"/>
    <s v="B"/>
    <x v="2"/>
    <x v="1"/>
    <s v="Male"/>
    <x v="0"/>
    <n v="69.510000000000005"/>
    <n v="2"/>
    <n v="6.9509999999999996"/>
    <n v="145.971"/>
    <x v="59"/>
    <d v="1899-12-30T12:15:00"/>
    <x v="0"/>
    <x v="576"/>
    <n v="4.7619047620000003"/>
    <n v="6.9509999999999996"/>
    <n v="8.1"/>
  </r>
  <r>
    <s v="390-31-6381"/>
    <s v="C"/>
    <x v="1"/>
    <x v="1"/>
    <s v="Male"/>
    <x v="4"/>
    <n v="27.22"/>
    <n v="3"/>
    <n v="4.0830000000000002"/>
    <n v="85.742999999999995"/>
    <x v="27"/>
    <d v="1899-12-30T12:37:00"/>
    <x v="1"/>
    <x v="577"/>
    <n v="4.7619047620000003"/>
    <n v="4.0830000000000002"/>
    <n v="7.3"/>
  </r>
  <r>
    <s v="443-82-0585"/>
    <s v="A"/>
    <x v="0"/>
    <x v="0"/>
    <s v="Female"/>
    <x v="0"/>
    <n v="77.680000000000007"/>
    <n v="4"/>
    <n v="15.536"/>
    <n v="326.25599999999997"/>
    <x v="60"/>
    <d v="1899-12-30T19:54:00"/>
    <x v="1"/>
    <x v="578"/>
    <n v="4.7619047620000003"/>
    <n v="15.536"/>
    <n v="8.4"/>
  </r>
  <r>
    <s v="339-18-7061"/>
    <s v="C"/>
    <x v="1"/>
    <x v="0"/>
    <s v="Female"/>
    <x v="5"/>
    <n v="92.98"/>
    <n v="2"/>
    <n v="9.298"/>
    <n v="195.25800000000001"/>
    <x v="77"/>
    <d v="1899-12-30T15:06:00"/>
    <x v="2"/>
    <x v="579"/>
    <n v="4.7619047620000003"/>
    <n v="9.298"/>
    <n v="8"/>
  </r>
  <r>
    <s v="359-90-3665"/>
    <s v="B"/>
    <x v="2"/>
    <x v="0"/>
    <s v="Female"/>
    <x v="5"/>
    <n v="18.079999999999998"/>
    <n v="4"/>
    <n v="3.6160000000000001"/>
    <n v="75.936000000000007"/>
    <x v="78"/>
    <d v="1899-12-30T18:03:00"/>
    <x v="2"/>
    <x v="580"/>
    <n v="4.7619047620000003"/>
    <n v="3.6160000000000001"/>
    <n v="9.5"/>
  </r>
  <r>
    <s v="375-72-3056"/>
    <s v="B"/>
    <x v="2"/>
    <x v="1"/>
    <s v="Male"/>
    <x v="3"/>
    <n v="63.06"/>
    <n v="3"/>
    <n v="9.4589999999999996"/>
    <n v="198.63900000000001"/>
    <x v="64"/>
    <d v="1899-12-30T15:58:00"/>
    <x v="0"/>
    <x v="581"/>
    <n v="4.7619047620000003"/>
    <n v="9.4589999999999996"/>
    <n v="7"/>
  </r>
  <r>
    <s v="127-47-6963"/>
    <s v="A"/>
    <x v="0"/>
    <x v="1"/>
    <s v="Male"/>
    <x v="0"/>
    <n v="51.71"/>
    <n v="4"/>
    <n v="10.342000000000001"/>
    <n v="217.18199999999999"/>
    <x v="11"/>
    <d v="1899-12-30T13:53:00"/>
    <x v="2"/>
    <x v="582"/>
    <n v="4.7619047620000003"/>
    <n v="10.342000000000001"/>
    <n v="9.8000000000000007"/>
  </r>
  <r>
    <s v="278-86-2735"/>
    <s v="A"/>
    <x v="0"/>
    <x v="1"/>
    <s v="Female"/>
    <x v="4"/>
    <n v="52.34"/>
    <n v="3"/>
    <n v="7.851"/>
    <n v="164.87100000000001"/>
    <x v="39"/>
    <d v="1899-12-30T14:03:00"/>
    <x v="1"/>
    <x v="583"/>
    <n v="4.7619047620000003"/>
    <n v="7.851"/>
    <n v="9.1999999999999993"/>
  </r>
  <r>
    <s v="695-28-6250"/>
    <s v="A"/>
    <x v="0"/>
    <x v="1"/>
    <s v="Female"/>
    <x v="3"/>
    <n v="43.06"/>
    <n v="5"/>
    <n v="10.765000000000001"/>
    <n v="226.065"/>
    <x v="87"/>
    <d v="1899-12-30T16:38:00"/>
    <x v="0"/>
    <x v="584"/>
    <n v="4.7619047620000003"/>
    <n v="10.765000000000001"/>
    <n v="7.7"/>
  </r>
  <r>
    <s v="379-17-6588"/>
    <s v="C"/>
    <x v="1"/>
    <x v="1"/>
    <s v="Male"/>
    <x v="5"/>
    <n v="59.61"/>
    <n v="10"/>
    <n v="29.805"/>
    <n v="625.90499999999997"/>
    <x v="86"/>
    <d v="1899-12-30T11:07:00"/>
    <x v="1"/>
    <x v="585"/>
    <n v="4.7619047620000003"/>
    <n v="29.805"/>
    <n v="5.3"/>
  </r>
  <r>
    <s v="227-50-3718"/>
    <s v="A"/>
    <x v="0"/>
    <x v="1"/>
    <s v="Male"/>
    <x v="0"/>
    <n v="14.62"/>
    <n v="5"/>
    <n v="3.6549999999999998"/>
    <n v="76.754999999999995"/>
    <x v="31"/>
    <d v="1899-12-30T12:23:00"/>
    <x v="1"/>
    <x v="586"/>
    <n v="4.7619047620000003"/>
    <n v="3.6549999999999998"/>
    <n v="4.4000000000000004"/>
  </r>
  <r>
    <s v="302-15-2162"/>
    <s v="C"/>
    <x v="1"/>
    <x v="0"/>
    <s v="Male"/>
    <x v="0"/>
    <n v="46.53"/>
    <n v="6"/>
    <n v="13.959"/>
    <n v="293.13900000000001"/>
    <x v="2"/>
    <d v="1899-12-30T10:54:00"/>
    <x v="2"/>
    <x v="587"/>
    <n v="4.7619047620000003"/>
    <n v="13.959"/>
    <n v="4.3"/>
  </r>
  <r>
    <s v="788-07-8452"/>
    <s v="C"/>
    <x v="1"/>
    <x v="0"/>
    <s v="Female"/>
    <x v="2"/>
    <n v="24.24"/>
    <n v="7"/>
    <n v="8.484"/>
    <n v="178.16399999999999"/>
    <x v="3"/>
    <d v="1899-12-30T17:38:00"/>
    <x v="0"/>
    <x v="588"/>
    <n v="4.7619047620000003"/>
    <n v="8.484"/>
    <n v="9.4"/>
  </r>
  <r>
    <s v="560-49-6611"/>
    <s v="A"/>
    <x v="0"/>
    <x v="0"/>
    <s v="Female"/>
    <x v="3"/>
    <n v="45.58"/>
    <n v="1"/>
    <n v="2.2789999999999999"/>
    <n v="47.859000000000002"/>
    <x v="13"/>
    <d v="1899-12-30T14:13:00"/>
    <x v="1"/>
    <x v="589"/>
    <n v="4.7619047620000003"/>
    <n v="2.2789999999999999"/>
    <n v="9.8000000000000007"/>
  </r>
  <r>
    <s v="880-35-0356"/>
    <s v="A"/>
    <x v="0"/>
    <x v="0"/>
    <s v="Female"/>
    <x v="3"/>
    <n v="75.2"/>
    <n v="3"/>
    <n v="11.28"/>
    <n v="236.88"/>
    <x v="63"/>
    <d v="1899-12-30T11:51:00"/>
    <x v="0"/>
    <x v="590"/>
    <n v="4.7619047620000003"/>
    <n v="11.28"/>
    <n v="4.8"/>
  </r>
  <r>
    <s v="585-11-6748"/>
    <s v="B"/>
    <x v="2"/>
    <x v="0"/>
    <s v="Male"/>
    <x v="3"/>
    <n v="96.8"/>
    <n v="3"/>
    <n v="14.52"/>
    <n v="304.92"/>
    <x v="20"/>
    <d v="1899-12-30T13:05:00"/>
    <x v="1"/>
    <x v="591"/>
    <n v="4.7619047620000003"/>
    <n v="14.52"/>
    <n v="5.3"/>
  </r>
  <r>
    <s v="470-31-3286"/>
    <s v="B"/>
    <x v="2"/>
    <x v="1"/>
    <s v="Male"/>
    <x v="0"/>
    <n v="14.82"/>
    <n v="3"/>
    <n v="2.2229999999999999"/>
    <n v="46.683"/>
    <x v="59"/>
    <d v="1899-12-30T11:30:00"/>
    <x v="2"/>
    <x v="592"/>
    <n v="4.7619047620000003"/>
    <n v="2.2229999999999999"/>
    <n v="8.6999999999999993"/>
  </r>
  <r>
    <s v="152-68-2907"/>
    <s v="A"/>
    <x v="0"/>
    <x v="1"/>
    <s v="Male"/>
    <x v="4"/>
    <n v="52.2"/>
    <n v="3"/>
    <n v="7.83"/>
    <n v="164.43"/>
    <x v="42"/>
    <d v="1899-12-30T13:30:00"/>
    <x v="2"/>
    <x v="593"/>
    <n v="4.7619047620000003"/>
    <n v="7.83"/>
    <n v="9.5"/>
  </r>
  <r>
    <s v="123-35-4896"/>
    <s v="C"/>
    <x v="1"/>
    <x v="1"/>
    <s v="Female"/>
    <x v="3"/>
    <n v="46.66"/>
    <n v="9"/>
    <n v="20.997"/>
    <n v="440.93700000000001"/>
    <x v="21"/>
    <d v="1899-12-30T19:11:00"/>
    <x v="0"/>
    <x v="594"/>
    <n v="4.7619047620000003"/>
    <n v="20.997"/>
    <n v="5.3"/>
  </r>
  <r>
    <s v="258-69-7810"/>
    <s v="C"/>
    <x v="1"/>
    <x v="1"/>
    <s v="Female"/>
    <x v="5"/>
    <n v="36.85"/>
    <n v="5"/>
    <n v="9.2125000000000004"/>
    <n v="193.46250000000001"/>
    <x v="53"/>
    <d v="1899-12-30T18:53:00"/>
    <x v="1"/>
    <x v="595"/>
    <n v="4.7619047620000003"/>
    <n v="9.2125000000000004"/>
    <n v="9.1999999999999993"/>
  </r>
  <r>
    <s v="334-64-2006"/>
    <s v="A"/>
    <x v="0"/>
    <x v="0"/>
    <s v="Female"/>
    <x v="2"/>
    <n v="70.319999999999993"/>
    <n v="2"/>
    <n v="7.032"/>
    <n v="147.672"/>
    <x v="62"/>
    <d v="1899-12-30T14:22:00"/>
    <x v="0"/>
    <x v="596"/>
    <n v="4.7619047620000003"/>
    <n v="7.032"/>
    <n v="9.6"/>
  </r>
  <r>
    <s v="219-61-4139"/>
    <s v="C"/>
    <x v="1"/>
    <x v="1"/>
    <s v="Male"/>
    <x v="1"/>
    <n v="83.08"/>
    <n v="1"/>
    <n v="4.1539999999999999"/>
    <n v="87.233999999999995"/>
    <x v="54"/>
    <d v="1899-12-30T17:16:00"/>
    <x v="0"/>
    <x v="451"/>
    <n v="4.7619047620000003"/>
    <n v="4.1539999999999999"/>
    <n v="6.4"/>
  </r>
  <r>
    <s v="881-41-7302"/>
    <s v="C"/>
    <x v="1"/>
    <x v="1"/>
    <s v="Female"/>
    <x v="5"/>
    <n v="64.989999999999995"/>
    <n v="1"/>
    <n v="3.2494999999999998"/>
    <n v="68.239500000000007"/>
    <x v="53"/>
    <d v="1899-12-30T10:06:00"/>
    <x v="2"/>
    <x v="597"/>
    <n v="4.7619047620000003"/>
    <n v="3.2494999999999998"/>
    <n v="4.5"/>
  </r>
  <r>
    <s v="373-09-4567"/>
    <s v="C"/>
    <x v="1"/>
    <x v="1"/>
    <s v="Male"/>
    <x v="4"/>
    <n v="77.56"/>
    <n v="10"/>
    <n v="38.78"/>
    <n v="814.38"/>
    <x v="86"/>
    <d v="1899-12-30T20:35:00"/>
    <x v="0"/>
    <x v="598"/>
    <n v="4.7619047620000003"/>
    <n v="38.78"/>
    <n v="6.9"/>
  </r>
  <r>
    <s v="642-30-6693"/>
    <s v="B"/>
    <x v="2"/>
    <x v="1"/>
    <s v="Female"/>
    <x v="3"/>
    <n v="54.51"/>
    <n v="6"/>
    <n v="16.353000000000002"/>
    <n v="343.41300000000001"/>
    <x v="85"/>
    <d v="1899-12-30T13:54:00"/>
    <x v="0"/>
    <x v="599"/>
    <n v="4.7619047620000003"/>
    <n v="16.353000000000002"/>
    <n v="7.8"/>
  </r>
  <r>
    <s v="484-22-8230"/>
    <s v="C"/>
    <x v="1"/>
    <x v="0"/>
    <s v="Female"/>
    <x v="5"/>
    <n v="51.89"/>
    <n v="7"/>
    <n v="18.1615"/>
    <n v="381.39150000000001"/>
    <x v="66"/>
    <d v="1899-12-30T20:08:00"/>
    <x v="1"/>
    <x v="600"/>
    <n v="4.7619047620000003"/>
    <n v="18.1615"/>
    <n v="4.5"/>
  </r>
  <r>
    <s v="830-58-2383"/>
    <s v="B"/>
    <x v="2"/>
    <x v="1"/>
    <s v="Male"/>
    <x v="2"/>
    <n v="31.75"/>
    <n v="4"/>
    <n v="6.35"/>
    <n v="133.35"/>
    <x v="4"/>
    <d v="1899-12-30T15:26:00"/>
    <x v="1"/>
    <x v="601"/>
    <n v="4.7619047620000003"/>
    <n v="6.35"/>
    <n v="8.6"/>
  </r>
  <r>
    <s v="559-98-9873"/>
    <s v="A"/>
    <x v="0"/>
    <x v="0"/>
    <s v="Female"/>
    <x v="5"/>
    <n v="53.65"/>
    <n v="7"/>
    <n v="18.7775"/>
    <n v="394.32749999999999"/>
    <x v="34"/>
    <d v="1899-12-30T12:56:00"/>
    <x v="0"/>
    <x v="602"/>
    <n v="4.7619047620000003"/>
    <n v="18.7775"/>
    <n v="5.2"/>
  </r>
  <r>
    <s v="544-32-5024"/>
    <s v="C"/>
    <x v="1"/>
    <x v="0"/>
    <s v="Female"/>
    <x v="4"/>
    <n v="49.79"/>
    <n v="4"/>
    <n v="9.9580000000000002"/>
    <n v="209.11799999999999"/>
    <x v="61"/>
    <d v="1899-12-30T19:16:00"/>
    <x v="2"/>
    <x v="603"/>
    <n v="4.7619047620000003"/>
    <n v="9.9580000000000002"/>
    <n v="6.4"/>
  </r>
  <r>
    <s v="318-12-0304"/>
    <s v="A"/>
    <x v="0"/>
    <x v="1"/>
    <s v="Male"/>
    <x v="5"/>
    <n v="30.61"/>
    <n v="1"/>
    <n v="1.5305"/>
    <n v="32.140500000000003"/>
    <x v="54"/>
    <d v="1899-12-30T12:20:00"/>
    <x v="0"/>
    <x v="604"/>
    <n v="4.7619047620000003"/>
    <n v="1.5305"/>
    <n v="5.2"/>
  </r>
  <r>
    <s v="349-97-8902"/>
    <s v="B"/>
    <x v="2"/>
    <x v="0"/>
    <s v="Male"/>
    <x v="4"/>
    <n v="57.89"/>
    <n v="2"/>
    <n v="5.7889999999999997"/>
    <n v="121.569"/>
    <x v="29"/>
    <d v="1899-12-30T10:37:00"/>
    <x v="0"/>
    <x v="605"/>
    <n v="4.7619047620000003"/>
    <n v="5.7889999999999997"/>
    <n v="8.9"/>
  </r>
  <r>
    <s v="421-95-9805"/>
    <s v="A"/>
    <x v="0"/>
    <x v="1"/>
    <s v="Female"/>
    <x v="1"/>
    <n v="28.96"/>
    <n v="1"/>
    <n v="1.448"/>
    <n v="30.408000000000001"/>
    <x v="13"/>
    <d v="1899-12-30T10:18:00"/>
    <x v="2"/>
    <x v="606"/>
    <n v="4.7619047620000003"/>
    <n v="1.448"/>
    <n v="6.2"/>
  </r>
  <r>
    <s v="277-35-5865"/>
    <s v="C"/>
    <x v="1"/>
    <x v="0"/>
    <s v="Female"/>
    <x v="4"/>
    <n v="98.97"/>
    <n v="9"/>
    <n v="44.536499999999997"/>
    <n v="935.26649999999995"/>
    <x v="11"/>
    <d v="1899-12-30T11:23:00"/>
    <x v="1"/>
    <x v="607"/>
    <n v="4.7619047620000003"/>
    <n v="44.536499999999997"/>
    <n v="6.7"/>
  </r>
  <r>
    <s v="789-23-8625"/>
    <s v="B"/>
    <x v="2"/>
    <x v="0"/>
    <s v="Male"/>
    <x v="5"/>
    <n v="93.22"/>
    <n v="3"/>
    <n v="13.983000000000001"/>
    <n v="293.64299999999997"/>
    <x v="46"/>
    <d v="1899-12-30T11:45:00"/>
    <x v="1"/>
    <x v="608"/>
    <n v="4.7619047620000003"/>
    <n v="13.983000000000001"/>
    <n v="7.2"/>
  </r>
  <r>
    <s v="284-54-4231"/>
    <s v="C"/>
    <x v="1"/>
    <x v="0"/>
    <s v="Male"/>
    <x v="3"/>
    <n v="80.930000000000007"/>
    <n v="1"/>
    <n v="4.0465"/>
    <n v="84.976500000000001"/>
    <x v="64"/>
    <d v="1899-12-30T16:08:00"/>
    <x v="2"/>
    <x v="609"/>
    <n v="4.7619047620000003"/>
    <n v="4.0465"/>
    <n v="9"/>
  </r>
  <r>
    <s v="443-59-0061"/>
    <s v="A"/>
    <x v="0"/>
    <x v="0"/>
    <s v="Male"/>
    <x v="4"/>
    <n v="67.45"/>
    <n v="10"/>
    <n v="33.725000000000001"/>
    <n v="708.22500000000002"/>
    <x v="36"/>
    <d v="1899-12-30T11:25:00"/>
    <x v="0"/>
    <x v="610"/>
    <n v="4.7619047620000003"/>
    <n v="33.725000000000001"/>
    <n v="4.2"/>
  </r>
  <r>
    <s v="509-29-3912"/>
    <s v="A"/>
    <x v="0"/>
    <x v="0"/>
    <s v="Female"/>
    <x v="3"/>
    <n v="38.72"/>
    <n v="9"/>
    <n v="17.423999999999999"/>
    <n v="365.904"/>
    <x v="80"/>
    <d v="1899-12-30T12:24:00"/>
    <x v="0"/>
    <x v="611"/>
    <n v="4.7619047620000003"/>
    <n v="17.423999999999999"/>
    <n v="4.2"/>
  </r>
  <r>
    <s v="327-40-9673"/>
    <s v="B"/>
    <x v="2"/>
    <x v="0"/>
    <s v="Male"/>
    <x v="3"/>
    <n v="72.599999999999994"/>
    <n v="6"/>
    <n v="21.78"/>
    <n v="457.38"/>
    <x v="50"/>
    <d v="1899-12-30T19:51:00"/>
    <x v="1"/>
    <x v="612"/>
    <n v="4.7619047620000003"/>
    <n v="21.78"/>
    <n v="6.9"/>
  </r>
  <r>
    <s v="840-19-2096"/>
    <s v="C"/>
    <x v="1"/>
    <x v="0"/>
    <s v="Male"/>
    <x v="1"/>
    <n v="87.91"/>
    <n v="5"/>
    <n v="21.977499999999999"/>
    <n v="461.52749999999997"/>
    <x v="86"/>
    <d v="1899-12-30T18:10:00"/>
    <x v="0"/>
    <x v="613"/>
    <n v="4.7619047620000003"/>
    <n v="21.977499999999999"/>
    <n v="4.4000000000000004"/>
  </r>
  <r>
    <s v="828-46-6863"/>
    <s v="A"/>
    <x v="0"/>
    <x v="0"/>
    <s v="Male"/>
    <x v="4"/>
    <n v="98.53"/>
    <n v="6"/>
    <n v="29.559000000000001"/>
    <n v="620.73900000000003"/>
    <x v="54"/>
    <d v="1899-12-30T11:22:00"/>
    <x v="2"/>
    <x v="614"/>
    <n v="4.7619047620000003"/>
    <n v="29.559000000000001"/>
    <n v="4"/>
  </r>
  <r>
    <s v="641-96-3695"/>
    <s v="C"/>
    <x v="1"/>
    <x v="0"/>
    <s v="Female"/>
    <x v="5"/>
    <n v="43.46"/>
    <n v="6"/>
    <n v="13.038"/>
    <n v="273.798"/>
    <x v="13"/>
    <d v="1899-12-30T17:55:00"/>
    <x v="0"/>
    <x v="615"/>
    <n v="4.7619047620000003"/>
    <n v="13.038"/>
    <n v="8.5"/>
  </r>
  <r>
    <s v="420-97-3340"/>
    <s v="A"/>
    <x v="0"/>
    <x v="1"/>
    <s v="Female"/>
    <x v="4"/>
    <n v="71.680000000000007"/>
    <n v="3"/>
    <n v="10.752000000000001"/>
    <n v="225.792"/>
    <x v="61"/>
    <d v="1899-12-30T15:30:00"/>
    <x v="2"/>
    <x v="616"/>
    <n v="4.7619047620000003"/>
    <n v="10.752000000000001"/>
    <n v="9.1999999999999993"/>
  </r>
  <r>
    <s v="436-54-4512"/>
    <s v="A"/>
    <x v="0"/>
    <x v="0"/>
    <s v="Female"/>
    <x v="4"/>
    <n v="91.61"/>
    <n v="1"/>
    <n v="4.5804999999999998"/>
    <n v="96.1905"/>
    <x v="80"/>
    <d v="1899-12-30T19:44:00"/>
    <x v="1"/>
    <x v="617"/>
    <n v="4.7619047620000003"/>
    <n v="4.5804999999999998"/>
    <n v="9.8000000000000007"/>
  </r>
  <r>
    <s v="670-79-6321"/>
    <s v="B"/>
    <x v="2"/>
    <x v="0"/>
    <s v="Female"/>
    <x v="2"/>
    <n v="94.59"/>
    <n v="7"/>
    <n v="33.106499999999997"/>
    <n v="695.23649999999998"/>
    <x v="29"/>
    <d v="1899-12-30T15:27:00"/>
    <x v="2"/>
    <x v="618"/>
    <n v="4.7619047620000003"/>
    <n v="33.106499999999997"/>
    <n v="4.9000000000000004"/>
  </r>
  <r>
    <s v="852-62-7105"/>
    <s v="B"/>
    <x v="2"/>
    <x v="1"/>
    <s v="Female"/>
    <x v="5"/>
    <n v="83.25"/>
    <n v="10"/>
    <n v="41.625"/>
    <n v="874.125"/>
    <x v="52"/>
    <d v="1899-12-30T11:25:00"/>
    <x v="2"/>
    <x v="619"/>
    <n v="4.7619047620000003"/>
    <n v="41.625"/>
    <n v="4.4000000000000004"/>
  </r>
  <r>
    <s v="598-06-7312"/>
    <s v="B"/>
    <x v="2"/>
    <x v="0"/>
    <s v="Male"/>
    <x v="5"/>
    <n v="91.35"/>
    <n v="1"/>
    <n v="4.5674999999999999"/>
    <n v="95.917500000000004"/>
    <x v="69"/>
    <d v="1899-12-30T15:42:00"/>
    <x v="1"/>
    <x v="620"/>
    <n v="4.7619047620000003"/>
    <n v="4.5674999999999999"/>
    <n v="6.8"/>
  </r>
  <r>
    <s v="135-13-8269"/>
    <s v="B"/>
    <x v="2"/>
    <x v="0"/>
    <s v="Female"/>
    <x v="4"/>
    <n v="78.88"/>
    <n v="2"/>
    <n v="7.8879999999999999"/>
    <n v="165.648"/>
    <x v="53"/>
    <d v="1899-12-30T16:04:00"/>
    <x v="1"/>
    <x v="621"/>
    <n v="4.7619047620000003"/>
    <n v="7.8879999999999999"/>
    <n v="9.1"/>
  </r>
  <r>
    <s v="816-57-2053"/>
    <s v="A"/>
    <x v="0"/>
    <x v="1"/>
    <s v="Male"/>
    <x v="3"/>
    <n v="60.87"/>
    <n v="2"/>
    <n v="6.0869999999999997"/>
    <n v="127.827"/>
    <x v="11"/>
    <d v="1899-12-30T12:37:00"/>
    <x v="0"/>
    <x v="622"/>
    <n v="4.7619047620000003"/>
    <n v="6.0869999999999997"/>
    <n v="8.6999999999999993"/>
  </r>
  <r>
    <s v="628-90-8624"/>
    <s v="B"/>
    <x v="2"/>
    <x v="0"/>
    <s v="Male"/>
    <x v="0"/>
    <n v="82.58"/>
    <n v="10"/>
    <n v="41.29"/>
    <n v="867.09"/>
    <x v="86"/>
    <d v="1899-12-30T14:41:00"/>
    <x v="1"/>
    <x v="623"/>
    <n v="4.7619047620000003"/>
    <n v="41.29"/>
    <n v="5"/>
  </r>
  <r>
    <s v="856-66-2701"/>
    <s v="A"/>
    <x v="0"/>
    <x v="0"/>
    <s v="Male"/>
    <x v="2"/>
    <n v="53.3"/>
    <n v="3"/>
    <n v="7.9950000000000001"/>
    <n v="167.89500000000001"/>
    <x v="25"/>
    <d v="1899-12-30T14:19:00"/>
    <x v="0"/>
    <x v="624"/>
    <n v="4.7619047620000003"/>
    <n v="7.9950000000000001"/>
    <n v="7.5"/>
  </r>
  <r>
    <s v="308-39-1707"/>
    <s v="A"/>
    <x v="0"/>
    <x v="1"/>
    <s v="Female"/>
    <x v="5"/>
    <n v="12.09"/>
    <n v="1"/>
    <n v="0.60450000000000004"/>
    <n v="12.6945"/>
    <x v="53"/>
    <d v="1899-12-30T18:19:00"/>
    <x v="2"/>
    <x v="625"/>
    <n v="4.7619047620000003"/>
    <n v="0.60450000000000004"/>
    <n v="8.1999999999999993"/>
  </r>
  <r>
    <s v="149-61-1929"/>
    <s v="A"/>
    <x v="0"/>
    <x v="1"/>
    <s v="Male"/>
    <x v="3"/>
    <n v="64.19"/>
    <n v="10"/>
    <n v="32.094999999999999"/>
    <n v="673.995"/>
    <x v="64"/>
    <d v="1899-12-30T14:08:00"/>
    <x v="2"/>
    <x v="626"/>
    <n v="4.7619047620000003"/>
    <n v="32.094999999999999"/>
    <n v="6.7"/>
  </r>
  <r>
    <s v="655-07-2265"/>
    <s v="A"/>
    <x v="0"/>
    <x v="1"/>
    <s v="Male"/>
    <x v="1"/>
    <n v="78.31"/>
    <n v="3"/>
    <n v="11.746499999999999"/>
    <n v="246.6765"/>
    <x v="19"/>
    <d v="1899-12-30T16:38:00"/>
    <x v="0"/>
    <x v="627"/>
    <n v="4.7619047620000003"/>
    <n v="11.746499999999999"/>
    <n v="5.4"/>
  </r>
  <r>
    <s v="589-02-8023"/>
    <s v="A"/>
    <x v="0"/>
    <x v="0"/>
    <s v="Male"/>
    <x v="4"/>
    <n v="83.77"/>
    <n v="2"/>
    <n v="8.3770000000000007"/>
    <n v="175.917"/>
    <x v="15"/>
    <d v="1899-12-30T10:54:00"/>
    <x v="2"/>
    <x v="628"/>
    <n v="4.7619047620000003"/>
    <n v="8.3770000000000007"/>
    <n v="7"/>
  </r>
  <r>
    <s v="420-04-7590"/>
    <s v="B"/>
    <x v="2"/>
    <x v="1"/>
    <s v="Male"/>
    <x v="2"/>
    <n v="99.7"/>
    <n v="3"/>
    <n v="14.955"/>
    <n v="314.05500000000001"/>
    <x v="79"/>
    <d v="1899-12-30T11:29:00"/>
    <x v="0"/>
    <x v="629"/>
    <n v="4.7619047620000003"/>
    <n v="14.955"/>
    <n v="4.7"/>
  </r>
  <r>
    <s v="182-88-2763"/>
    <s v="B"/>
    <x v="2"/>
    <x v="0"/>
    <s v="Male"/>
    <x v="4"/>
    <n v="79.91"/>
    <n v="3"/>
    <n v="11.986499999999999"/>
    <n v="251.7165"/>
    <x v="80"/>
    <d v="1899-12-30T19:28:00"/>
    <x v="2"/>
    <x v="630"/>
    <n v="4.7619047620000003"/>
    <n v="11.986499999999999"/>
    <n v="5"/>
  </r>
  <r>
    <s v="188-55-0967"/>
    <s v="B"/>
    <x v="2"/>
    <x v="0"/>
    <s v="Male"/>
    <x v="0"/>
    <n v="66.47"/>
    <n v="10"/>
    <n v="33.234999999999999"/>
    <n v="697.93499999999995"/>
    <x v="15"/>
    <d v="1899-12-30T15:01:00"/>
    <x v="2"/>
    <x v="631"/>
    <n v="4.7619047620000003"/>
    <n v="33.234999999999999"/>
    <n v="5"/>
  </r>
  <r>
    <s v="610-46-4100"/>
    <s v="A"/>
    <x v="0"/>
    <x v="1"/>
    <s v="Male"/>
    <x v="0"/>
    <n v="28.95"/>
    <n v="7"/>
    <n v="10.1325"/>
    <n v="212.7825"/>
    <x v="2"/>
    <d v="1899-12-30T20:31:00"/>
    <x v="2"/>
    <x v="632"/>
    <n v="4.7619047620000003"/>
    <n v="10.1325"/>
    <n v="6"/>
  </r>
  <r>
    <s v="318-81-2368"/>
    <s v="C"/>
    <x v="1"/>
    <x v="1"/>
    <s v="Female"/>
    <x v="1"/>
    <n v="46.2"/>
    <n v="1"/>
    <n v="2.31"/>
    <n v="48.51"/>
    <x v="35"/>
    <d v="1899-12-30T12:16:00"/>
    <x v="1"/>
    <x v="633"/>
    <n v="4.7619047620000003"/>
    <n v="2.31"/>
    <n v="6.3"/>
  </r>
  <r>
    <s v="364-33-8584"/>
    <s v="B"/>
    <x v="2"/>
    <x v="0"/>
    <s v="Female"/>
    <x v="4"/>
    <n v="17.63"/>
    <n v="5"/>
    <n v="4.4074999999999998"/>
    <n v="92.557500000000005"/>
    <x v="1"/>
    <d v="1899-12-30T15:27:00"/>
    <x v="1"/>
    <x v="634"/>
    <n v="4.7619047620000003"/>
    <n v="4.4074999999999998"/>
    <n v="8.5"/>
  </r>
  <r>
    <s v="665-63-9737"/>
    <s v="B"/>
    <x v="2"/>
    <x v="1"/>
    <s v="Male"/>
    <x v="5"/>
    <n v="52.42"/>
    <n v="3"/>
    <n v="7.8630000000000004"/>
    <n v="165.12299999999999"/>
    <x v="33"/>
    <d v="1899-12-30T17:36:00"/>
    <x v="0"/>
    <x v="635"/>
    <n v="4.7619047620000003"/>
    <n v="7.8630000000000004"/>
    <n v="7.5"/>
  </r>
  <r>
    <s v="695-09-5146"/>
    <s v="B"/>
    <x v="2"/>
    <x v="0"/>
    <s v="Female"/>
    <x v="4"/>
    <n v="98.79"/>
    <n v="3"/>
    <n v="14.8185"/>
    <n v="311.18849999999998"/>
    <x v="55"/>
    <d v="1899-12-30T20:00:00"/>
    <x v="0"/>
    <x v="636"/>
    <n v="4.7619047620000003"/>
    <n v="14.8185"/>
    <n v="6.4"/>
  </r>
  <r>
    <s v="155-45-3814"/>
    <s v="C"/>
    <x v="1"/>
    <x v="0"/>
    <s v="Female"/>
    <x v="1"/>
    <n v="88.55"/>
    <n v="8"/>
    <n v="35.42"/>
    <n v="743.82"/>
    <x v="35"/>
    <d v="1899-12-30T15:29:00"/>
    <x v="0"/>
    <x v="637"/>
    <n v="4.7619047620000003"/>
    <n v="35.42"/>
    <n v="4.7"/>
  </r>
  <r>
    <s v="794-32-2436"/>
    <s v="B"/>
    <x v="2"/>
    <x v="0"/>
    <s v="Male"/>
    <x v="1"/>
    <n v="55.67"/>
    <n v="2"/>
    <n v="5.5670000000000002"/>
    <n v="116.907"/>
    <x v="39"/>
    <d v="1899-12-30T15:08:00"/>
    <x v="0"/>
    <x v="638"/>
    <n v="4.7619047620000003"/>
    <n v="5.5670000000000002"/>
    <n v="6"/>
  </r>
  <r>
    <s v="131-15-8856"/>
    <s v="C"/>
    <x v="1"/>
    <x v="0"/>
    <s v="Female"/>
    <x v="4"/>
    <n v="72.52"/>
    <n v="8"/>
    <n v="29.007999999999999"/>
    <n v="609.16800000000001"/>
    <x v="73"/>
    <d v="1899-12-30T19:26:00"/>
    <x v="2"/>
    <x v="639"/>
    <n v="4.7619047620000003"/>
    <n v="29.007999999999999"/>
    <n v="4"/>
  </r>
  <r>
    <s v="273-84-2164"/>
    <s v="C"/>
    <x v="1"/>
    <x v="0"/>
    <s v="Male"/>
    <x v="1"/>
    <n v="12.05"/>
    <n v="5"/>
    <n v="3.0125000000000002"/>
    <n v="63.262500000000003"/>
    <x v="69"/>
    <d v="1899-12-30T15:53:00"/>
    <x v="0"/>
    <x v="640"/>
    <n v="4.7619047620000003"/>
    <n v="3.0125000000000002"/>
    <n v="5.5"/>
  </r>
  <r>
    <s v="706-36-6154"/>
    <s v="A"/>
    <x v="0"/>
    <x v="0"/>
    <s v="Male"/>
    <x v="2"/>
    <n v="19.36"/>
    <n v="9"/>
    <n v="8.7119999999999997"/>
    <n v="182.952"/>
    <x v="68"/>
    <d v="1899-12-30T18:43:00"/>
    <x v="0"/>
    <x v="641"/>
    <n v="4.7619047620000003"/>
    <n v="8.7119999999999997"/>
    <n v="8.6999999999999993"/>
  </r>
  <r>
    <s v="778-89-7974"/>
    <s v="C"/>
    <x v="1"/>
    <x v="1"/>
    <s v="Male"/>
    <x v="0"/>
    <n v="70.209999999999994"/>
    <n v="6"/>
    <n v="21.062999999999999"/>
    <n v="442.32299999999998"/>
    <x v="73"/>
    <d v="1899-12-30T14:58:00"/>
    <x v="1"/>
    <x v="642"/>
    <n v="4.7619047620000003"/>
    <n v="21.062999999999999"/>
    <n v="7.4"/>
  </r>
  <r>
    <s v="574-31-8277"/>
    <s v="B"/>
    <x v="2"/>
    <x v="0"/>
    <s v="Male"/>
    <x v="5"/>
    <n v="33.630000000000003"/>
    <n v="1"/>
    <n v="1.6815"/>
    <n v="35.311500000000002"/>
    <x v="80"/>
    <d v="1899-12-30T19:55:00"/>
    <x v="1"/>
    <x v="643"/>
    <n v="4.7619047620000003"/>
    <n v="1.6815"/>
    <n v="5.6"/>
  </r>
  <r>
    <s v="859-71-0933"/>
    <s v="C"/>
    <x v="1"/>
    <x v="0"/>
    <s v="Female"/>
    <x v="3"/>
    <n v="15.49"/>
    <n v="2"/>
    <n v="1.5489999999999999"/>
    <n v="32.529000000000003"/>
    <x v="65"/>
    <d v="1899-12-30T15:10:00"/>
    <x v="1"/>
    <x v="644"/>
    <n v="4.7619047620000003"/>
    <n v="1.5489999999999999"/>
    <n v="6.3"/>
  </r>
  <r>
    <s v="740-11-5257"/>
    <s v="C"/>
    <x v="1"/>
    <x v="1"/>
    <s v="Male"/>
    <x v="1"/>
    <n v="24.74"/>
    <n v="10"/>
    <n v="12.37"/>
    <n v="259.77"/>
    <x v="7"/>
    <d v="1899-12-30T16:44:00"/>
    <x v="1"/>
    <x v="645"/>
    <n v="4.7619047620000003"/>
    <n v="12.37"/>
    <n v="7.1"/>
  </r>
  <r>
    <s v="369-82-2676"/>
    <s v="B"/>
    <x v="2"/>
    <x v="1"/>
    <s v="Male"/>
    <x v="1"/>
    <n v="75.66"/>
    <n v="5"/>
    <n v="18.914999999999999"/>
    <n v="397.21499999999997"/>
    <x v="15"/>
    <d v="1899-12-30T18:22:00"/>
    <x v="0"/>
    <x v="646"/>
    <n v="4.7619047620000003"/>
    <n v="18.914999999999999"/>
    <n v="7.8"/>
  </r>
  <r>
    <s v="563-47-4072"/>
    <s v="B"/>
    <x v="2"/>
    <x v="1"/>
    <s v="Female"/>
    <x v="0"/>
    <n v="55.81"/>
    <n v="6"/>
    <n v="16.742999999999999"/>
    <n v="351.60300000000001"/>
    <x v="49"/>
    <d v="1899-12-30T11:52:00"/>
    <x v="1"/>
    <x v="647"/>
    <n v="4.7619047620000003"/>
    <n v="16.742999999999999"/>
    <n v="9.9"/>
  </r>
  <r>
    <s v="742-04-5161"/>
    <s v="A"/>
    <x v="0"/>
    <x v="0"/>
    <s v="Male"/>
    <x v="2"/>
    <n v="72.78"/>
    <n v="10"/>
    <n v="36.39"/>
    <n v="764.19"/>
    <x v="36"/>
    <d v="1899-12-30T17:24:00"/>
    <x v="1"/>
    <x v="648"/>
    <n v="4.7619047620000003"/>
    <n v="36.39"/>
    <n v="7.3"/>
  </r>
  <r>
    <s v="149-15-7606"/>
    <s v="B"/>
    <x v="2"/>
    <x v="0"/>
    <s v="Male"/>
    <x v="3"/>
    <n v="37.32"/>
    <n v="9"/>
    <n v="16.794"/>
    <n v="352.67399999999998"/>
    <x v="43"/>
    <d v="1899-12-30T15:31:00"/>
    <x v="0"/>
    <x v="649"/>
    <n v="4.7619047620000003"/>
    <n v="16.794"/>
    <n v="5.0999999999999996"/>
  </r>
  <r>
    <s v="133-77-3154"/>
    <s v="B"/>
    <x v="2"/>
    <x v="0"/>
    <s v="Male"/>
    <x v="5"/>
    <n v="60.18"/>
    <n v="4"/>
    <n v="12.036"/>
    <n v="252.756"/>
    <x v="69"/>
    <d v="1899-12-30T18:04:00"/>
    <x v="2"/>
    <x v="650"/>
    <n v="4.7619047620000003"/>
    <n v="12.036"/>
    <n v="9.4"/>
  </r>
  <r>
    <s v="169-52-4504"/>
    <s v="A"/>
    <x v="0"/>
    <x v="1"/>
    <s v="Female"/>
    <x v="1"/>
    <n v="15.69"/>
    <n v="3"/>
    <n v="2.3534999999999999"/>
    <n v="49.423499999999997"/>
    <x v="86"/>
    <d v="1899-12-30T14:13:00"/>
    <x v="2"/>
    <x v="651"/>
    <n v="4.7619047620000003"/>
    <n v="2.3534999999999999"/>
    <n v="5.8"/>
  </r>
  <r>
    <s v="250-81-7186"/>
    <s v="C"/>
    <x v="1"/>
    <x v="1"/>
    <s v="Female"/>
    <x v="1"/>
    <n v="99.69"/>
    <n v="1"/>
    <n v="4.9844999999999997"/>
    <n v="104.67449999999999"/>
    <x v="33"/>
    <d v="1899-12-30T10:23:00"/>
    <x v="2"/>
    <x v="652"/>
    <n v="4.7619047620000003"/>
    <n v="4.9844999999999997"/>
    <n v="8"/>
  </r>
  <r>
    <s v="562-12-5430"/>
    <s v="A"/>
    <x v="0"/>
    <x v="0"/>
    <s v="Female"/>
    <x v="5"/>
    <n v="88.15"/>
    <n v="3"/>
    <n v="13.2225"/>
    <n v="277.67250000000001"/>
    <x v="68"/>
    <d v="1899-12-30T10:11:00"/>
    <x v="0"/>
    <x v="653"/>
    <n v="4.7619047620000003"/>
    <n v="13.2225"/>
    <n v="7.9"/>
  </r>
  <r>
    <s v="816-72-8853"/>
    <s v="A"/>
    <x v="0"/>
    <x v="0"/>
    <s v="Female"/>
    <x v="3"/>
    <n v="27.93"/>
    <n v="5"/>
    <n v="6.9824999999999999"/>
    <n v="146.63249999999999"/>
    <x v="71"/>
    <d v="1899-12-30T15:48:00"/>
    <x v="1"/>
    <x v="654"/>
    <n v="4.7619047620000003"/>
    <n v="6.9824999999999999"/>
    <n v="5.9"/>
  </r>
  <r>
    <s v="491-38-3499"/>
    <s v="A"/>
    <x v="0"/>
    <x v="0"/>
    <s v="Male"/>
    <x v="5"/>
    <n v="55.45"/>
    <n v="1"/>
    <n v="2.7725"/>
    <n v="58.222499999999997"/>
    <x v="84"/>
    <d v="1899-12-30T17:46:00"/>
    <x v="2"/>
    <x v="655"/>
    <n v="4.7619047620000003"/>
    <n v="2.7725"/>
    <n v="4.9000000000000004"/>
  </r>
  <r>
    <s v="322-02-2271"/>
    <s v="B"/>
    <x v="2"/>
    <x v="1"/>
    <s v="Female"/>
    <x v="3"/>
    <n v="42.97"/>
    <n v="3"/>
    <n v="6.4455"/>
    <n v="135.35550000000001"/>
    <x v="36"/>
    <d v="1899-12-30T11:46:00"/>
    <x v="1"/>
    <x v="656"/>
    <n v="4.7619047620000003"/>
    <n v="6.4455"/>
    <n v="9.3000000000000007"/>
  </r>
  <r>
    <s v="842-29-4695"/>
    <s v="C"/>
    <x v="1"/>
    <x v="0"/>
    <s v="Male"/>
    <x v="3"/>
    <n v="17.14"/>
    <n v="7"/>
    <n v="5.9989999999999997"/>
    <n v="125.979"/>
    <x v="65"/>
    <d v="1899-12-30T12:07:00"/>
    <x v="2"/>
    <x v="657"/>
    <n v="4.7619047620000003"/>
    <n v="5.9989999999999997"/>
    <n v="7.9"/>
  </r>
  <r>
    <s v="725-67-2480"/>
    <s v="B"/>
    <x v="2"/>
    <x v="0"/>
    <s v="Female"/>
    <x v="5"/>
    <n v="58.75"/>
    <n v="6"/>
    <n v="17.625"/>
    <n v="370.125"/>
    <x v="62"/>
    <d v="1899-12-30T18:14:00"/>
    <x v="2"/>
    <x v="658"/>
    <n v="4.7619047620000003"/>
    <n v="17.625"/>
    <n v="5.9"/>
  </r>
  <r>
    <s v="641-51-2661"/>
    <s v="C"/>
    <x v="1"/>
    <x v="0"/>
    <s v="Female"/>
    <x v="4"/>
    <n v="87.1"/>
    <n v="10"/>
    <n v="43.55"/>
    <n v="914.55"/>
    <x v="12"/>
    <d v="1899-12-30T14:45:00"/>
    <x v="2"/>
    <x v="659"/>
    <n v="4.7619047620000003"/>
    <n v="43.55"/>
    <n v="9.9"/>
  </r>
  <r>
    <s v="714-02-3114"/>
    <s v="C"/>
    <x v="1"/>
    <x v="1"/>
    <s v="Female"/>
    <x v="3"/>
    <n v="98.8"/>
    <n v="2"/>
    <n v="9.8800000000000008"/>
    <n v="207.48"/>
    <x v="81"/>
    <d v="1899-12-30T11:39:00"/>
    <x v="1"/>
    <x v="660"/>
    <n v="4.7619047620000003"/>
    <n v="9.8800000000000008"/>
    <n v="7.7"/>
  </r>
  <r>
    <s v="518-17-2983"/>
    <s v="A"/>
    <x v="0"/>
    <x v="1"/>
    <s v="Female"/>
    <x v="5"/>
    <n v="48.63"/>
    <n v="4"/>
    <n v="9.7260000000000009"/>
    <n v="204.24600000000001"/>
    <x v="87"/>
    <d v="1899-12-30T15:44:00"/>
    <x v="0"/>
    <x v="661"/>
    <n v="4.7619047620000003"/>
    <n v="9.7260000000000009"/>
    <n v="7.6"/>
  </r>
  <r>
    <s v="779-42-2410"/>
    <s v="B"/>
    <x v="2"/>
    <x v="0"/>
    <s v="Male"/>
    <x v="4"/>
    <n v="57.74"/>
    <n v="3"/>
    <n v="8.6609999999999996"/>
    <n v="181.881"/>
    <x v="9"/>
    <d v="1899-12-30T13:06:00"/>
    <x v="0"/>
    <x v="662"/>
    <n v="4.7619047620000003"/>
    <n v="8.6609999999999996"/>
    <n v="7.7"/>
  </r>
  <r>
    <s v="190-14-3147"/>
    <s v="B"/>
    <x v="2"/>
    <x v="1"/>
    <s v="Female"/>
    <x v="0"/>
    <n v="17.97"/>
    <n v="4"/>
    <n v="3.5939999999999999"/>
    <n v="75.474000000000004"/>
    <x v="55"/>
    <d v="1899-12-30T20:43:00"/>
    <x v="0"/>
    <x v="663"/>
    <n v="4.7619047620000003"/>
    <n v="3.5939999999999999"/>
    <n v="6.4"/>
  </r>
  <r>
    <s v="408-66-6712"/>
    <s v="C"/>
    <x v="1"/>
    <x v="0"/>
    <s v="Female"/>
    <x v="0"/>
    <n v="47.71"/>
    <n v="6"/>
    <n v="14.313000000000001"/>
    <n v="300.57299999999998"/>
    <x v="69"/>
    <d v="1899-12-30T14:19:00"/>
    <x v="0"/>
    <x v="664"/>
    <n v="4.7619047620000003"/>
    <n v="14.313000000000001"/>
    <n v="4.4000000000000004"/>
  </r>
  <r>
    <s v="679-22-6530"/>
    <s v="B"/>
    <x v="2"/>
    <x v="1"/>
    <s v="Female"/>
    <x v="3"/>
    <n v="40.619999999999997"/>
    <n v="2"/>
    <n v="4.0620000000000003"/>
    <n v="85.302000000000007"/>
    <x v="29"/>
    <d v="1899-12-30T10:01:00"/>
    <x v="2"/>
    <x v="665"/>
    <n v="4.7619047620000003"/>
    <n v="4.0620000000000003"/>
    <n v="4.0999999999999996"/>
  </r>
  <r>
    <s v="588-47-8641"/>
    <s v="A"/>
    <x v="0"/>
    <x v="0"/>
    <s v="Male"/>
    <x v="5"/>
    <n v="56.04"/>
    <n v="10"/>
    <n v="28.02"/>
    <n v="588.41999999999996"/>
    <x v="78"/>
    <d v="1899-12-30T19:30:00"/>
    <x v="0"/>
    <x v="666"/>
    <n v="4.7619047620000003"/>
    <n v="28.02"/>
    <n v="4.4000000000000004"/>
  </r>
  <r>
    <s v="642-61-4706"/>
    <s v="B"/>
    <x v="2"/>
    <x v="0"/>
    <s v="Male"/>
    <x v="4"/>
    <n v="93.4"/>
    <n v="2"/>
    <n v="9.34"/>
    <n v="196.14"/>
    <x v="73"/>
    <d v="1899-12-30T16:34:00"/>
    <x v="1"/>
    <x v="667"/>
    <n v="4.7619047620000003"/>
    <n v="9.34"/>
    <n v="5.5"/>
  </r>
  <r>
    <s v="576-31-4774"/>
    <s v="B"/>
    <x v="2"/>
    <x v="1"/>
    <s v="Female"/>
    <x v="0"/>
    <n v="73.41"/>
    <n v="3"/>
    <n v="11.0115"/>
    <n v="231.2415"/>
    <x v="22"/>
    <d v="1899-12-30T13:10:00"/>
    <x v="0"/>
    <x v="668"/>
    <n v="4.7619047620000003"/>
    <n v="11.0115"/>
    <n v="4"/>
  </r>
  <r>
    <s v="556-41-6224"/>
    <s v="C"/>
    <x v="1"/>
    <x v="1"/>
    <s v="Male"/>
    <x v="0"/>
    <n v="33.64"/>
    <n v="8"/>
    <n v="13.456"/>
    <n v="282.57600000000002"/>
    <x v="42"/>
    <d v="1899-12-30T17:10:00"/>
    <x v="2"/>
    <x v="669"/>
    <n v="4.7619047620000003"/>
    <n v="13.456"/>
    <n v="9.3000000000000007"/>
  </r>
  <r>
    <s v="811-03-8790"/>
    <s v="A"/>
    <x v="0"/>
    <x v="1"/>
    <s v="Female"/>
    <x v="1"/>
    <n v="45.48"/>
    <n v="10"/>
    <n v="22.74"/>
    <n v="477.54"/>
    <x v="59"/>
    <d v="1899-12-30T10:22:00"/>
    <x v="2"/>
    <x v="670"/>
    <n v="4.7619047620000003"/>
    <n v="22.74"/>
    <n v="4.8"/>
  </r>
  <r>
    <s v="242-11-3142"/>
    <s v="B"/>
    <x v="2"/>
    <x v="0"/>
    <s v="Male"/>
    <x v="5"/>
    <n v="83.77"/>
    <n v="2"/>
    <n v="8.3770000000000007"/>
    <n v="175.917"/>
    <x v="7"/>
    <d v="1899-12-30T19:57:00"/>
    <x v="1"/>
    <x v="628"/>
    <n v="4.7619047620000003"/>
    <n v="8.3770000000000007"/>
    <n v="4.5999999999999996"/>
  </r>
  <r>
    <s v="752-23-3760"/>
    <s v="B"/>
    <x v="2"/>
    <x v="0"/>
    <s v="Female"/>
    <x v="3"/>
    <n v="64.08"/>
    <n v="7"/>
    <n v="22.428000000000001"/>
    <n v="470.988"/>
    <x v="88"/>
    <d v="1899-12-30T19:29:00"/>
    <x v="2"/>
    <x v="671"/>
    <n v="4.7619047620000003"/>
    <n v="22.428000000000001"/>
    <n v="7.3"/>
  </r>
  <r>
    <s v="274-05-5470"/>
    <s v="A"/>
    <x v="0"/>
    <x v="0"/>
    <s v="Female"/>
    <x v="4"/>
    <n v="73.47"/>
    <n v="4"/>
    <n v="14.694000000000001"/>
    <n v="308.57400000000001"/>
    <x v="55"/>
    <d v="1899-12-30T18:30:00"/>
    <x v="1"/>
    <x v="672"/>
    <n v="4.7619047620000003"/>
    <n v="14.694000000000001"/>
    <n v="6"/>
  </r>
  <r>
    <s v="648-94-3045"/>
    <s v="C"/>
    <x v="1"/>
    <x v="1"/>
    <s v="Male"/>
    <x v="0"/>
    <n v="58.95"/>
    <n v="10"/>
    <n v="29.475000000000001"/>
    <n v="618.97500000000002"/>
    <x v="13"/>
    <d v="1899-12-30T14:27:00"/>
    <x v="0"/>
    <x v="673"/>
    <n v="4.7619047620000003"/>
    <n v="29.475000000000001"/>
    <n v="8.1"/>
  </r>
  <r>
    <s v="130-67-4723"/>
    <s v="A"/>
    <x v="0"/>
    <x v="0"/>
    <s v="Male"/>
    <x v="4"/>
    <n v="48.5"/>
    <n v="6"/>
    <n v="14.55"/>
    <n v="305.55"/>
    <x v="83"/>
    <d v="1899-12-30T13:57:00"/>
    <x v="0"/>
    <x v="674"/>
    <n v="4.7619047620000003"/>
    <n v="14.55"/>
    <n v="9.4"/>
  </r>
  <r>
    <s v="528-87-5606"/>
    <s v="B"/>
    <x v="2"/>
    <x v="0"/>
    <s v="Female"/>
    <x v="1"/>
    <n v="39.479999999999997"/>
    <n v="1"/>
    <n v="1.974"/>
    <n v="41.454000000000001"/>
    <x v="12"/>
    <d v="1899-12-30T19:43:00"/>
    <x v="1"/>
    <x v="675"/>
    <n v="4.7619047620000003"/>
    <n v="1.974"/>
    <n v="6.5"/>
  </r>
  <r>
    <s v="320-85-2052"/>
    <s v="B"/>
    <x v="2"/>
    <x v="1"/>
    <s v="Female"/>
    <x v="3"/>
    <n v="34.81"/>
    <n v="1"/>
    <n v="1.7404999999999999"/>
    <n v="36.5505"/>
    <x v="78"/>
    <d v="1899-12-30T10:11:00"/>
    <x v="2"/>
    <x v="676"/>
    <n v="4.7619047620000003"/>
    <n v="1.7404999999999999"/>
    <n v="7"/>
  </r>
  <r>
    <s v="370-96-0655"/>
    <s v="C"/>
    <x v="1"/>
    <x v="1"/>
    <s v="Female"/>
    <x v="5"/>
    <n v="49.32"/>
    <n v="6"/>
    <n v="14.795999999999999"/>
    <n v="310.71600000000001"/>
    <x v="51"/>
    <d v="1899-12-30T13:46:00"/>
    <x v="0"/>
    <x v="677"/>
    <n v="4.7619047620000003"/>
    <n v="14.795999999999999"/>
    <n v="7.1"/>
  </r>
  <r>
    <s v="105-10-6182"/>
    <s v="A"/>
    <x v="0"/>
    <x v="0"/>
    <s v="Male"/>
    <x v="5"/>
    <n v="21.48"/>
    <n v="2"/>
    <n v="2.1480000000000001"/>
    <n v="45.107999999999997"/>
    <x v="33"/>
    <d v="1899-12-30T12:22:00"/>
    <x v="0"/>
    <x v="678"/>
    <n v="4.7619047620000003"/>
    <n v="2.1480000000000001"/>
    <n v="6.6"/>
  </r>
  <r>
    <s v="510-79-0415"/>
    <s v="B"/>
    <x v="2"/>
    <x v="0"/>
    <s v="Female"/>
    <x v="3"/>
    <n v="23.08"/>
    <n v="6"/>
    <n v="6.9240000000000004"/>
    <n v="145.404"/>
    <x v="46"/>
    <d v="1899-12-30T19:20:00"/>
    <x v="0"/>
    <x v="679"/>
    <n v="4.7619047620000003"/>
    <n v="6.9240000000000004"/>
    <n v="4.9000000000000004"/>
  </r>
  <r>
    <s v="241-96-5076"/>
    <s v="B"/>
    <x v="2"/>
    <x v="0"/>
    <s v="Female"/>
    <x v="2"/>
    <n v="49.1"/>
    <n v="2"/>
    <n v="4.91"/>
    <n v="103.11"/>
    <x v="66"/>
    <d v="1899-12-30T12:58:00"/>
    <x v="2"/>
    <x v="680"/>
    <n v="4.7619047620000003"/>
    <n v="4.91"/>
    <n v="6.4"/>
  </r>
  <r>
    <s v="767-97-4650"/>
    <s v="B"/>
    <x v="2"/>
    <x v="0"/>
    <s v="Female"/>
    <x v="3"/>
    <n v="64.83"/>
    <n v="2"/>
    <n v="6.4829999999999997"/>
    <n v="136.143"/>
    <x v="66"/>
    <d v="1899-12-30T11:59:00"/>
    <x v="2"/>
    <x v="681"/>
    <n v="4.7619047620000003"/>
    <n v="6.4829999999999997"/>
    <n v="8"/>
  </r>
  <r>
    <s v="648-83-1321"/>
    <s v="A"/>
    <x v="0"/>
    <x v="0"/>
    <s v="Male"/>
    <x v="2"/>
    <n v="63.56"/>
    <n v="10"/>
    <n v="31.78"/>
    <n v="667.38"/>
    <x v="65"/>
    <d v="1899-12-30T17:59:00"/>
    <x v="1"/>
    <x v="682"/>
    <n v="4.7619047620000003"/>
    <n v="31.78"/>
    <n v="4.3"/>
  </r>
  <r>
    <s v="173-57-2300"/>
    <s v="C"/>
    <x v="1"/>
    <x v="0"/>
    <s v="Male"/>
    <x v="3"/>
    <n v="72.88"/>
    <n v="2"/>
    <n v="7.2880000000000003"/>
    <n v="153.048"/>
    <x v="45"/>
    <d v="1899-12-30T12:51:00"/>
    <x v="1"/>
    <x v="683"/>
    <n v="4.7619047620000003"/>
    <n v="7.2880000000000003"/>
    <n v="6.1"/>
  </r>
  <r>
    <s v="305-03-2383"/>
    <s v="A"/>
    <x v="0"/>
    <x v="1"/>
    <s v="Female"/>
    <x v="4"/>
    <n v="67.099999999999994"/>
    <n v="3"/>
    <n v="10.065"/>
    <n v="211.36500000000001"/>
    <x v="42"/>
    <d v="1899-12-30T10:36:00"/>
    <x v="1"/>
    <x v="684"/>
    <n v="4.7619047620000003"/>
    <n v="10.065"/>
    <n v="7.5"/>
  </r>
  <r>
    <s v="394-55-6384"/>
    <s v="C"/>
    <x v="1"/>
    <x v="0"/>
    <s v="Female"/>
    <x v="3"/>
    <n v="70.19"/>
    <n v="9"/>
    <n v="31.5855"/>
    <n v="663.29549999999995"/>
    <x v="25"/>
    <d v="1899-12-30T13:38:00"/>
    <x v="1"/>
    <x v="685"/>
    <n v="4.7619047620000003"/>
    <n v="31.5855"/>
    <n v="6.7"/>
  </r>
  <r>
    <s v="266-20-6657"/>
    <s v="C"/>
    <x v="1"/>
    <x v="0"/>
    <s v="Male"/>
    <x v="4"/>
    <n v="55.04"/>
    <n v="7"/>
    <n v="19.263999999999999"/>
    <n v="404.54399999999998"/>
    <x v="41"/>
    <d v="1899-12-30T19:39:00"/>
    <x v="0"/>
    <x v="686"/>
    <n v="4.7619047620000003"/>
    <n v="19.263999999999999"/>
    <n v="5.2"/>
  </r>
  <r>
    <s v="689-05-1884"/>
    <s v="A"/>
    <x v="0"/>
    <x v="0"/>
    <s v="Male"/>
    <x v="0"/>
    <n v="48.63"/>
    <n v="10"/>
    <n v="24.315000000000001"/>
    <n v="510.61500000000001"/>
    <x v="31"/>
    <d v="1899-12-30T12:44:00"/>
    <x v="1"/>
    <x v="687"/>
    <n v="4.7619047620000003"/>
    <n v="24.315000000000001"/>
    <n v="8.8000000000000007"/>
  </r>
  <r>
    <s v="196-01-2849"/>
    <s v="C"/>
    <x v="1"/>
    <x v="0"/>
    <s v="Female"/>
    <x v="5"/>
    <n v="73.38"/>
    <n v="7"/>
    <n v="25.683"/>
    <n v="539.34299999999996"/>
    <x v="34"/>
    <d v="1899-12-30T13:56:00"/>
    <x v="1"/>
    <x v="688"/>
    <n v="4.7619047620000003"/>
    <n v="25.683"/>
    <n v="9.5"/>
  </r>
  <r>
    <s v="372-62-5264"/>
    <s v="C"/>
    <x v="1"/>
    <x v="1"/>
    <s v="Female"/>
    <x v="4"/>
    <n v="52.6"/>
    <n v="9"/>
    <n v="23.67"/>
    <n v="497.07"/>
    <x v="65"/>
    <d v="1899-12-30T14:42:00"/>
    <x v="1"/>
    <x v="689"/>
    <n v="4.7619047620000003"/>
    <n v="23.67"/>
    <n v="7.6"/>
  </r>
  <r>
    <s v="800-09-8606"/>
    <s v="A"/>
    <x v="0"/>
    <x v="0"/>
    <s v="Female"/>
    <x v="2"/>
    <n v="87.37"/>
    <n v="5"/>
    <n v="21.842500000000001"/>
    <n v="458.6925"/>
    <x v="71"/>
    <d v="1899-12-30T19:45:00"/>
    <x v="1"/>
    <x v="690"/>
    <n v="4.7619047620000003"/>
    <n v="21.842500000000001"/>
    <n v="6.6"/>
  </r>
  <r>
    <s v="182-52-7000"/>
    <s v="A"/>
    <x v="0"/>
    <x v="0"/>
    <s v="Female"/>
    <x v="3"/>
    <n v="27.04"/>
    <n v="4"/>
    <n v="5.4080000000000004"/>
    <n v="113.568"/>
    <x v="17"/>
    <d v="1899-12-30T20:26:00"/>
    <x v="0"/>
    <x v="691"/>
    <n v="4.7619047620000003"/>
    <n v="5.4080000000000004"/>
    <n v="6.9"/>
  </r>
  <r>
    <s v="826-58-8051"/>
    <s v="B"/>
    <x v="2"/>
    <x v="1"/>
    <s v="Male"/>
    <x v="2"/>
    <n v="62.19"/>
    <n v="4"/>
    <n v="12.438000000000001"/>
    <n v="261.19799999999998"/>
    <x v="47"/>
    <d v="1899-12-30T19:46:00"/>
    <x v="0"/>
    <x v="692"/>
    <n v="4.7619047620000003"/>
    <n v="12.438000000000001"/>
    <n v="4.3"/>
  </r>
  <r>
    <s v="868-06-0466"/>
    <s v="A"/>
    <x v="0"/>
    <x v="0"/>
    <s v="Male"/>
    <x v="1"/>
    <n v="69.58"/>
    <n v="9"/>
    <n v="31.311"/>
    <n v="657.53099999999995"/>
    <x v="88"/>
    <d v="1899-12-30T19:38:00"/>
    <x v="2"/>
    <x v="693"/>
    <n v="4.7619047620000003"/>
    <n v="31.311"/>
    <n v="7.8"/>
  </r>
  <r>
    <s v="751-41-9720"/>
    <s v="C"/>
    <x v="1"/>
    <x v="1"/>
    <s v="Male"/>
    <x v="2"/>
    <n v="97.5"/>
    <n v="10"/>
    <n v="48.75"/>
    <n v="1023.75"/>
    <x v="52"/>
    <d v="1899-12-30T16:18:00"/>
    <x v="0"/>
    <x v="694"/>
    <n v="4.7619047620000003"/>
    <n v="48.75"/>
    <n v="8"/>
  </r>
  <r>
    <s v="626-43-7888"/>
    <s v="C"/>
    <x v="1"/>
    <x v="1"/>
    <s v="Female"/>
    <x v="5"/>
    <n v="60.41"/>
    <n v="8"/>
    <n v="24.164000000000001"/>
    <n v="507.44400000000002"/>
    <x v="13"/>
    <d v="1899-12-30T12:23:00"/>
    <x v="0"/>
    <x v="695"/>
    <n v="4.7619047620000003"/>
    <n v="24.164000000000001"/>
    <n v="9.6"/>
  </r>
  <r>
    <s v="176-64-7711"/>
    <s v="B"/>
    <x v="2"/>
    <x v="1"/>
    <s v="Male"/>
    <x v="4"/>
    <n v="32.32"/>
    <n v="3"/>
    <n v="4.8479999999999999"/>
    <n v="101.80800000000001"/>
    <x v="39"/>
    <d v="1899-12-30T19:11:00"/>
    <x v="2"/>
    <x v="696"/>
    <n v="4.7619047620000003"/>
    <n v="4.8479999999999999"/>
    <n v="4.3"/>
  </r>
  <r>
    <s v="191-29-0321"/>
    <s v="B"/>
    <x v="2"/>
    <x v="0"/>
    <s v="Female"/>
    <x v="5"/>
    <n v="19.77"/>
    <n v="10"/>
    <n v="9.8849999999999998"/>
    <n v="207.58500000000001"/>
    <x v="33"/>
    <d v="1899-12-30T18:57:00"/>
    <x v="2"/>
    <x v="697"/>
    <n v="4.7619047620000003"/>
    <n v="9.8849999999999998"/>
    <n v="5"/>
  </r>
  <r>
    <s v="729-06-2010"/>
    <s v="B"/>
    <x v="2"/>
    <x v="0"/>
    <s v="Male"/>
    <x v="0"/>
    <n v="80.47"/>
    <n v="9"/>
    <n v="36.211500000000001"/>
    <n v="760.44150000000002"/>
    <x v="47"/>
    <d v="1899-12-30T11:18:00"/>
    <x v="1"/>
    <x v="698"/>
    <n v="4.7619047620000003"/>
    <n v="36.211500000000001"/>
    <n v="9.1999999999999993"/>
  </r>
  <r>
    <s v="640-48-5028"/>
    <s v="B"/>
    <x v="2"/>
    <x v="0"/>
    <s v="Female"/>
    <x v="2"/>
    <n v="88.39"/>
    <n v="9"/>
    <n v="39.775500000000001"/>
    <n v="835.28549999999996"/>
    <x v="22"/>
    <d v="1899-12-30T12:40:00"/>
    <x v="1"/>
    <x v="699"/>
    <n v="4.7619047620000003"/>
    <n v="39.775500000000001"/>
    <n v="6.3"/>
  </r>
  <r>
    <s v="186-79-9562"/>
    <s v="B"/>
    <x v="2"/>
    <x v="1"/>
    <s v="Male"/>
    <x v="0"/>
    <n v="71.77"/>
    <n v="7"/>
    <n v="25.119499999999999"/>
    <n v="527.5095"/>
    <x v="14"/>
    <d v="1899-12-30T14:06:00"/>
    <x v="1"/>
    <x v="700"/>
    <n v="4.7619047620000003"/>
    <n v="25.119499999999999"/>
    <n v="8.9"/>
  </r>
  <r>
    <s v="834-45-5519"/>
    <s v="B"/>
    <x v="2"/>
    <x v="1"/>
    <s v="Female"/>
    <x v="1"/>
    <n v="43"/>
    <n v="4"/>
    <n v="8.6"/>
    <n v="180.6"/>
    <x v="82"/>
    <d v="1899-12-30T20:48:00"/>
    <x v="0"/>
    <x v="701"/>
    <n v="4.7619047620000003"/>
    <n v="8.6"/>
    <n v="7.6"/>
  </r>
  <r>
    <s v="162-65-8559"/>
    <s v="C"/>
    <x v="1"/>
    <x v="0"/>
    <s v="Male"/>
    <x v="4"/>
    <n v="68.98"/>
    <n v="1"/>
    <n v="3.4489999999999998"/>
    <n v="72.429000000000002"/>
    <x v="18"/>
    <d v="1899-12-30T20:13:00"/>
    <x v="1"/>
    <x v="702"/>
    <n v="4.7619047620000003"/>
    <n v="3.4489999999999998"/>
    <n v="4.8"/>
  </r>
  <r>
    <s v="760-27-5490"/>
    <s v="C"/>
    <x v="1"/>
    <x v="1"/>
    <s v="Male"/>
    <x v="5"/>
    <n v="15.62"/>
    <n v="8"/>
    <n v="6.2480000000000002"/>
    <n v="131.208"/>
    <x v="40"/>
    <d v="1899-12-30T20:37:00"/>
    <x v="0"/>
    <x v="703"/>
    <n v="4.7619047620000003"/>
    <n v="6.2480000000000002"/>
    <n v="9.1"/>
  </r>
  <r>
    <s v="445-30-9252"/>
    <s v="A"/>
    <x v="0"/>
    <x v="1"/>
    <s v="Male"/>
    <x v="3"/>
    <n v="25.7"/>
    <n v="3"/>
    <n v="3.855"/>
    <n v="80.954999999999998"/>
    <x v="29"/>
    <d v="1899-12-30T17:59:00"/>
    <x v="0"/>
    <x v="704"/>
    <n v="4.7619047620000003"/>
    <n v="3.855"/>
    <n v="6.1"/>
  </r>
  <r>
    <s v="786-94-2700"/>
    <s v="A"/>
    <x v="0"/>
    <x v="0"/>
    <s v="Male"/>
    <x v="4"/>
    <n v="80.62"/>
    <n v="6"/>
    <n v="24.186"/>
    <n v="507.90600000000001"/>
    <x v="38"/>
    <d v="1899-12-30T20:18:00"/>
    <x v="1"/>
    <x v="705"/>
    <n v="4.7619047620000003"/>
    <n v="24.186"/>
    <n v="9.1"/>
  </r>
  <r>
    <s v="728-88-7867"/>
    <s v="C"/>
    <x v="1"/>
    <x v="0"/>
    <s v="Female"/>
    <x v="2"/>
    <n v="75.53"/>
    <n v="4"/>
    <n v="15.106"/>
    <n v="317.226"/>
    <x v="35"/>
    <d v="1899-12-30T15:52:00"/>
    <x v="0"/>
    <x v="706"/>
    <n v="4.7619047620000003"/>
    <n v="15.106"/>
    <n v="8.3000000000000007"/>
  </r>
  <r>
    <s v="183-21-3799"/>
    <s v="C"/>
    <x v="1"/>
    <x v="1"/>
    <s v="Female"/>
    <x v="1"/>
    <n v="77.63"/>
    <n v="9"/>
    <n v="34.933500000000002"/>
    <n v="733.60350000000005"/>
    <x v="88"/>
    <d v="1899-12-30T15:14:00"/>
    <x v="0"/>
    <x v="707"/>
    <n v="4.7619047620000003"/>
    <n v="34.933500000000002"/>
    <n v="7.2"/>
  </r>
  <r>
    <s v="268-20-3585"/>
    <s v="C"/>
    <x v="1"/>
    <x v="1"/>
    <s v="Female"/>
    <x v="0"/>
    <n v="13.85"/>
    <n v="9"/>
    <n v="6.2324999999999999"/>
    <n v="130.88249999999999"/>
    <x v="87"/>
    <d v="1899-12-30T12:50:00"/>
    <x v="0"/>
    <x v="708"/>
    <n v="4.7619047620000003"/>
    <n v="6.2324999999999999"/>
    <n v="6"/>
  </r>
  <r>
    <s v="735-32-9839"/>
    <s v="C"/>
    <x v="1"/>
    <x v="0"/>
    <s v="Male"/>
    <x v="5"/>
    <n v="98.7"/>
    <n v="8"/>
    <n v="39.479999999999997"/>
    <n v="829.08"/>
    <x v="82"/>
    <d v="1899-12-30T10:36:00"/>
    <x v="0"/>
    <x v="43"/>
    <n v="4.7619047620000003"/>
    <n v="39.479999999999997"/>
    <n v="8.5"/>
  </r>
  <r>
    <s v="258-92-7466"/>
    <s v="A"/>
    <x v="0"/>
    <x v="1"/>
    <s v="Female"/>
    <x v="0"/>
    <n v="35.68"/>
    <n v="5"/>
    <n v="8.92"/>
    <n v="187.32"/>
    <x v="10"/>
    <d v="1899-12-30T18:33:00"/>
    <x v="2"/>
    <x v="709"/>
    <n v="4.7619047620000003"/>
    <n v="8.92"/>
    <n v="6.6"/>
  </r>
  <r>
    <s v="857-16-3520"/>
    <s v="A"/>
    <x v="0"/>
    <x v="0"/>
    <s v="Female"/>
    <x v="5"/>
    <n v="71.459999999999994"/>
    <n v="7"/>
    <n v="25.010999999999999"/>
    <n v="525.23099999999999"/>
    <x v="61"/>
    <d v="1899-12-30T16:06:00"/>
    <x v="0"/>
    <x v="710"/>
    <n v="4.7619047620000003"/>
    <n v="25.010999999999999"/>
    <n v="4.5"/>
  </r>
  <r>
    <s v="482-17-1179"/>
    <s v="A"/>
    <x v="0"/>
    <x v="0"/>
    <s v="Male"/>
    <x v="1"/>
    <n v="11.94"/>
    <n v="3"/>
    <n v="1.7909999999999999"/>
    <n v="37.610999999999997"/>
    <x v="64"/>
    <d v="1899-12-30T12:47:00"/>
    <x v="2"/>
    <x v="711"/>
    <n v="4.7619047620000003"/>
    <n v="1.7909999999999999"/>
    <n v="8.1"/>
  </r>
  <r>
    <s v="788-21-5741"/>
    <s v="A"/>
    <x v="0"/>
    <x v="1"/>
    <s v="Male"/>
    <x v="5"/>
    <n v="45.38"/>
    <n v="3"/>
    <n v="6.8070000000000004"/>
    <n v="142.947"/>
    <x v="21"/>
    <d v="1899-12-30T13:34:00"/>
    <x v="2"/>
    <x v="712"/>
    <n v="4.7619047620000003"/>
    <n v="6.8070000000000004"/>
    <n v="7.2"/>
  </r>
  <r>
    <s v="821-14-9046"/>
    <s v="B"/>
    <x v="2"/>
    <x v="0"/>
    <s v="Female"/>
    <x v="5"/>
    <n v="17.48"/>
    <n v="6"/>
    <n v="5.2439999999999998"/>
    <n v="110.124"/>
    <x v="68"/>
    <d v="1899-12-30T15:04:00"/>
    <x v="2"/>
    <x v="713"/>
    <n v="4.7619047620000003"/>
    <n v="5.2439999999999998"/>
    <n v="6.1"/>
  </r>
  <r>
    <s v="418-05-0656"/>
    <s v="B"/>
    <x v="2"/>
    <x v="1"/>
    <s v="Female"/>
    <x v="5"/>
    <n v="25.56"/>
    <n v="7"/>
    <n v="8.9459999999999997"/>
    <n v="187.86600000000001"/>
    <x v="30"/>
    <d v="1899-12-30T20:42:00"/>
    <x v="1"/>
    <x v="714"/>
    <n v="4.7619047620000003"/>
    <n v="8.9459999999999997"/>
    <n v="7.1"/>
  </r>
  <r>
    <s v="678-79-0726"/>
    <s v="C"/>
    <x v="1"/>
    <x v="0"/>
    <s v="Female"/>
    <x v="3"/>
    <n v="90.63"/>
    <n v="9"/>
    <n v="40.783499999999997"/>
    <n v="856.45349999999996"/>
    <x v="68"/>
    <d v="1899-12-30T15:28:00"/>
    <x v="1"/>
    <x v="715"/>
    <n v="4.7619047620000003"/>
    <n v="40.783499999999997"/>
    <n v="5.0999999999999996"/>
  </r>
  <r>
    <s v="776-68-1096"/>
    <s v="B"/>
    <x v="2"/>
    <x v="1"/>
    <s v="Male"/>
    <x v="2"/>
    <n v="44.12"/>
    <n v="3"/>
    <n v="6.6180000000000003"/>
    <n v="138.97800000000001"/>
    <x v="79"/>
    <d v="1899-12-30T13:45:00"/>
    <x v="2"/>
    <x v="716"/>
    <n v="4.7619047620000003"/>
    <n v="6.6180000000000003"/>
    <n v="7.9"/>
  </r>
  <r>
    <s v="592-46-1692"/>
    <s v="C"/>
    <x v="1"/>
    <x v="0"/>
    <s v="Female"/>
    <x v="4"/>
    <n v="36.770000000000003"/>
    <n v="7"/>
    <n v="12.8695"/>
    <n v="270.2595"/>
    <x v="83"/>
    <d v="1899-12-30T20:10:00"/>
    <x v="1"/>
    <x v="717"/>
    <n v="4.7619047620000003"/>
    <n v="12.8695"/>
    <n v="7.4"/>
  </r>
  <r>
    <s v="434-35-9162"/>
    <s v="B"/>
    <x v="2"/>
    <x v="0"/>
    <s v="Male"/>
    <x v="4"/>
    <n v="23.34"/>
    <n v="4"/>
    <n v="4.6680000000000001"/>
    <n v="98.028000000000006"/>
    <x v="87"/>
    <d v="1899-12-30T18:53:00"/>
    <x v="0"/>
    <x v="718"/>
    <n v="4.7619047620000003"/>
    <n v="4.6680000000000001"/>
    <n v="7.4"/>
  </r>
  <r>
    <s v="149-14-0304"/>
    <s v="C"/>
    <x v="1"/>
    <x v="0"/>
    <s v="Female"/>
    <x v="0"/>
    <n v="28.5"/>
    <n v="8"/>
    <n v="11.4"/>
    <n v="239.4"/>
    <x v="10"/>
    <d v="1899-12-30T14:24:00"/>
    <x v="1"/>
    <x v="719"/>
    <n v="4.7619047620000003"/>
    <n v="11.4"/>
    <n v="6.6"/>
  </r>
  <r>
    <s v="442-44-6497"/>
    <s v="C"/>
    <x v="1"/>
    <x v="0"/>
    <s v="Male"/>
    <x v="2"/>
    <n v="55.57"/>
    <n v="3"/>
    <n v="8.3354999999999997"/>
    <n v="175.0455"/>
    <x v="66"/>
    <d v="1899-12-30T11:42:00"/>
    <x v="2"/>
    <x v="720"/>
    <n v="4.7619047620000003"/>
    <n v="8.3354999999999997"/>
    <n v="5.9"/>
  </r>
  <r>
    <s v="174-64-0215"/>
    <s v="B"/>
    <x v="2"/>
    <x v="1"/>
    <s v="Male"/>
    <x v="3"/>
    <n v="69.739999999999995"/>
    <n v="10"/>
    <n v="34.869999999999997"/>
    <n v="732.27"/>
    <x v="19"/>
    <d v="1899-12-30T17:49:00"/>
    <x v="2"/>
    <x v="721"/>
    <n v="4.7619047620000003"/>
    <n v="34.869999999999997"/>
    <n v="8.9"/>
  </r>
  <r>
    <s v="210-74-9613"/>
    <s v="C"/>
    <x v="1"/>
    <x v="1"/>
    <s v="Male"/>
    <x v="5"/>
    <n v="97.26"/>
    <n v="4"/>
    <n v="19.452000000000002"/>
    <n v="408.49200000000002"/>
    <x v="32"/>
    <d v="1899-12-30T15:33:00"/>
    <x v="0"/>
    <x v="722"/>
    <n v="4.7619047620000003"/>
    <n v="19.452000000000002"/>
    <n v="6.8"/>
  </r>
  <r>
    <s v="299-29-0180"/>
    <s v="B"/>
    <x v="2"/>
    <x v="0"/>
    <s v="Female"/>
    <x v="2"/>
    <n v="52.18"/>
    <n v="7"/>
    <n v="18.263000000000002"/>
    <n v="383.52300000000002"/>
    <x v="11"/>
    <d v="1899-12-30T10:54:00"/>
    <x v="1"/>
    <x v="723"/>
    <n v="4.7619047620000003"/>
    <n v="18.263000000000002"/>
    <n v="9.3000000000000007"/>
  </r>
  <r>
    <s v="247-11-2470"/>
    <s v="A"/>
    <x v="0"/>
    <x v="0"/>
    <s v="Female"/>
    <x v="5"/>
    <n v="22.32"/>
    <n v="4"/>
    <n v="4.4640000000000004"/>
    <n v="93.744"/>
    <x v="59"/>
    <d v="1899-12-30T16:23:00"/>
    <x v="2"/>
    <x v="724"/>
    <n v="4.7619047620000003"/>
    <n v="4.4640000000000004"/>
    <n v="4.4000000000000004"/>
  </r>
  <r>
    <s v="635-28-5728"/>
    <s v="A"/>
    <x v="0"/>
    <x v="1"/>
    <s v="Male"/>
    <x v="0"/>
    <n v="56"/>
    <n v="3"/>
    <n v="8.4"/>
    <n v="176.4"/>
    <x v="38"/>
    <d v="1899-12-30T19:33:00"/>
    <x v="0"/>
    <x v="725"/>
    <n v="4.7619047620000003"/>
    <n v="8.4"/>
    <n v="4.8"/>
  </r>
  <r>
    <s v="756-49-0168"/>
    <s v="A"/>
    <x v="0"/>
    <x v="0"/>
    <s v="Male"/>
    <x v="5"/>
    <n v="19.7"/>
    <n v="1"/>
    <n v="0.98499999999999999"/>
    <n v="20.684999999999999"/>
    <x v="4"/>
    <d v="1899-12-30T11:39:00"/>
    <x v="0"/>
    <x v="726"/>
    <n v="4.7619047620000003"/>
    <n v="0.98499999999999999"/>
    <n v="9.5"/>
  </r>
  <r>
    <s v="438-23-1242"/>
    <s v="B"/>
    <x v="2"/>
    <x v="1"/>
    <s v="Male"/>
    <x v="1"/>
    <n v="75.88"/>
    <n v="7"/>
    <n v="26.558"/>
    <n v="557.71799999999996"/>
    <x v="46"/>
    <d v="1899-12-30T10:38:00"/>
    <x v="0"/>
    <x v="727"/>
    <n v="4.7619047620000003"/>
    <n v="26.558"/>
    <n v="8.9"/>
  </r>
  <r>
    <s v="238-45-6950"/>
    <s v="B"/>
    <x v="2"/>
    <x v="0"/>
    <s v="Male"/>
    <x v="4"/>
    <n v="53.72"/>
    <n v="1"/>
    <n v="2.6859999999999999"/>
    <n v="56.405999999999999"/>
    <x v="59"/>
    <d v="1899-12-30T20:03:00"/>
    <x v="0"/>
    <x v="728"/>
    <n v="4.7619047620000003"/>
    <n v="2.6859999999999999"/>
    <n v="6.4"/>
  </r>
  <r>
    <s v="607-65-2441"/>
    <s v="C"/>
    <x v="1"/>
    <x v="0"/>
    <s v="Male"/>
    <x v="0"/>
    <n v="81.95"/>
    <n v="10"/>
    <n v="40.975000000000001"/>
    <n v="860.47500000000002"/>
    <x v="24"/>
    <d v="1899-12-30T12:39:00"/>
    <x v="2"/>
    <x v="729"/>
    <n v="4.7619047620000003"/>
    <n v="40.975000000000001"/>
    <n v="6"/>
  </r>
  <r>
    <s v="386-27-7606"/>
    <s v="C"/>
    <x v="1"/>
    <x v="0"/>
    <s v="Female"/>
    <x v="2"/>
    <n v="81.2"/>
    <n v="7"/>
    <n v="28.42"/>
    <n v="596.82000000000005"/>
    <x v="28"/>
    <d v="1899-12-30T15:59:00"/>
    <x v="2"/>
    <x v="730"/>
    <n v="4.7619047620000003"/>
    <n v="28.42"/>
    <n v="8.1"/>
  </r>
  <r>
    <s v="137-63-5492"/>
    <s v="C"/>
    <x v="1"/>
    <x v="1"/>
    <s v="Male"/>
    <x v="1"/>
    <n v="58.76"/>
    <n v="10"/>
    <n v="29.38"/>
    <n v="616.98"/>
    <x v="71"/>
    <d v="1899-12-30T14:26:00"/>
    <x v="0"/>
    <x v="731"/>
    <n v="4.7619047620000003"/>
    <n v="29.38"/>
    <n v="9"/>
  </r>
  <r>
    <s v="197-77-7132"/>
    <s v="B"/>
    <x v="2"/>
    <x v="0"/>
    <s v="Male"/>
    <x v="1"/>
    <n v="91.56"/>
    <n v="8"/>
    <n v="36.624000000000002"/>
    <n v="769.10400000000004"/>
    <x v="52"/>
    <d v="1899-12-30T18:22:00"/>
    <x v="0"/>
    <x v="732"/>
    <n v="4.7619047620000003"/>
    <n v="36.624000000000002"/>
    <n v="6"/>
  </r>
  <r>
    <s v="805-86-0265"/>
    <s v="A"/>
    <x v="0"/>
    <x v="1"/>
    <s v="Male"/>
    <x v="2"/>
    <n v="93.96"/>
    <n v="9"/>
    <n v="42.281999999999996"/>
    <n v="887.92200000000003"/>
    <x v="80"/>
    <d v="1899-12-30T11:32:00"/>
    <x v="1"/>
    <x v="733"/>
    <n v="4.7619047620000003"/>
    <n v="42.281999999999996"/>
    <n v="9.8000000000000007"/>
  </r>
  <r>
    <s v="733-29-1227"/>
    <s v="C"/>
    <x v="1"/>
    <x v="1"/>
    <s v="Male"/>
    <x v="2"/>
    <n v="55.61"/>
    <n v="7"/>
    <n v="19.4635"/>
    <n v="408.73349999999999"/>
    <x v="28"/>
    <d v="1899-12-30T12:41:00"/>
    <x v="1"/>
    <x v="734"/>
    <n v="4.7619047620000003"/>
    <n v="19.4635"/>
    <n v="8.5"/>
  </r>
  <r>
    <s v="451-73-2711"/>
    <s v="C"/>
    <x v="1"/>
    <x v="1"/>
    <s v="Male"/>
    <x v="4"/>
    <n v="84.83"/>
    <n v="1"/>
    <n v="4.2415000000000003"/>
    <n v="89.0715"/>
    <x v="78"/>
    <d v="1899-12-30T15:20:00"/>
    <x v="0"/>
    <x v="735"/>
    <n v="4.7619047620000003"/>
    <n v="4.2415000000000003"/>
    <n v="8.8000000000000007"/>
  </r>
  <r>
    <s v="373-14-0504"/>
    <s v="A"/>
    <x v="0"/>
    <x v="0"/>
    <s v="Female"/>
    <x v="3"/>
    <n v="71.63"/>
    <n v="2"/>
    <n v="7.1630000000000003"/>
    <n v="150.423"/>
    <x v="12"/>
    <d v="1899-12-30T14:33:00"/>
    <x v="0"/>
    <x v="736"/>
    <n v="4.7619047620000003"/>
    <n v="7.1630000000000003"/>
    <n v="8.8000000000000007"/>
  </r>
  <r>
    <s v="546-80-2899"/>
    <s v="A"/>
    <x v="0"/>
    <x v="0"/>
    <s v="Male"/>
    <x v="2"/>
    <n v="37.69"/>
    <n v="2"/>
    <n v="3.7690000000000001"/>
    <n v="79.149000000000001"/>
    <x v="9"/>
    <d v="1899-12-30T15:29:00"/>
    <x v="0"/>
    <x v="737"/>
    <n v="4.7619047620000003"/>
    <n v="3.7690000000000001"/>
    <n v="9.5"/>
  </r>
  <r>
    <s v="345-68-9016"/>
    <s v="C"/>
    <x v="1"/>
    <x v="0"/>
    <s v="Female"/>
    <x v="3"/>
    <n v="31.67"/>
    <n v="8"/>
    <n v="12.667999999999999"/>
    <n v="266.02800000000002"/>
    <x v="56"/>
    <d v="1899-12-30T16:19:00"/>
    <x v="2"/>
    <x v="738"/>
    <n v="4.7619047620000003"/>
    <n v="12.667999999999999"/>
    <n v="5.6"/>
  </r>
  <r>
    <s v="390-17-5806"/>
    <s v="C"/>
    <x v="1"/>
    <x v="0"/>
    <s v="Female"/>
    <x v="4"/>
    <n v="38.42"/>
    <n v="1"/>
    <n v="1.921"/>
    <n v="40.341000000000001"/>
    <x v="30"/>
    <d v="1899-12-30T16:33:00"/>
    <x v="1"/>
    <x v="739"/>
    <n v="4.7619047620000003"/>
    <n v="1.921"/>
    <n v="8.6"/>
  </r>
  <r>
    <s v="457-13-1708"/>
    <s v="B"/>
    <x v="2"/>
    <x v="0"/>
    <s v="Male"/>
    <x v="5"/>
    <n v="65.23"/>
    <n v="10"/>
    <n v="32.615000000000002"/>
    <n v="684.91499999999996"/>
    <x v="66"/>
    <d v="1899-12-30T19:07:00"/>
    <x v="2"/>
    <x v="740"/>
    <n v="4.7619047620000003"/>
    <n v="32.615000000000002"/>
    <n v="5.2"/>
  </r>
  <r>
    <s v="664-14-2882"/>
    <s v="C"/>
    <x v="1"/>
    <x v="0"/>
    <s v="Female"/>
    <x v="2"/>
    <n v="10.53"/>
    <n v="5"/>
    <n v="2.6324999999999998"/>
    <n v="55.282499999999999"/>
    <x v="74"/>
    <d v="1899-12-30T14:43:00"/>
    <x v="2"/>
    <x v="741"/>
    <n v="4.7619047620000003"/>
    <n v="2.6324999999999998"/>
    <n v="5.8"/>
  </r>
  <r>
    <s v="487-79-6868"/>
    <s v="B"/>
    <x v="2"/>
    <x v="0"/>
    <s v="Female"/>
    <x v="2"/>
    <n v="12.29"/>
    <n v="9"/>
    <n v="5.5305"/>
    <n v="116.1405"/>
    <x v="58"/>
    <d v="1899-12-30T19:28:00"/>
    <x v="2"/>
    <x v="742"/>
    <n v="4.7619047620000003"/>
    <n v="5.5305"/>
    <n v="8"/>
  </r>
  <r>
    <s v="314-23-4520"/>
    <s v="C"/>
    <x v="1"/>
    <x v="0"/>
    <s v="Male"/>
    <x v="0"/>
    <n v="81.23"/>
    <n v="7"/>
    <n v="28.430499999999999"/>
    <n v="597.04049999999995"/>
    <x v="15"/>
    <d v="1899-12-30T20:44:00"/>
    <x v="1"/>
    <x v="743"/>
    <n v="4.7619047620000003"/>
    <n v="28.430499999999999"/>
    <n v="9"/>
  </r>
  <r>
    <s v="210-30-7976"/>
    <s v="B"/>
    <x v="2"/>
    <x v="0"/>
    <s v="Female"/>
    <x v="5"/>
    <n v="22.32"/>
    <n v="4"/>
    <n v="4.4640000000000004"/>
    <n v="93.744"/>
    <x v="86"/>
    <d v="1899-12-30T11:16:00"/>
    <x v="0"/>
    <x v="724"/>
    <n v="4.7619047620000003"/>
    <n v="4.4640000000000004"/>
    <n v="4.0999999999999996"/>
  </r>
  <r>
    <s v="585-86-8361"/>
    <s v="A"/>
    <x v="0"/>
    <x v="1"/>
    <s v="Female"/>
    <x v="4"/>
    <n v="27.28"/>
    <n v="5"/>
    <n v="6.82"/>
    <n v="143.22"/>
    <x v="36"/>
    <d v="1899-12-30T10:31:00"/>
    <x v="2"/>
    <x v="744"/>
    <n v="4.7619047620000003"/>
    <n v="6.82"/>
    <n v="8.6"/>
  </r>
  <r>
    <s v="807-14-7833"/>
    <s v="A"/>
    <x v="0"/>
    <x v="0"/>
    <s v="Female"/>
    <x v="1"/>
    <n v="17.420000000000002"/>
    <n v="10"/>
    <n v="8.7100000000000009"/>
    <n v="182.91"/>
    <x v="70"/>
    <d v="1899-12-30T12:30:00"/>
    <x v="0"/>
    <x v="745"/>
    <n v="4.7619047620000003"/>
    <n v="8.7100000000000009"/>
    <n v="7"/>
  </r>
  <r>
    <s v="775-72-1988"/>
    <s v="B"/>
    <x v="2"/>
    <x v="1"/>
    <s v="Male"/>
    <x v="2"/>
    <n v="73.28"/>
    <n v="5"/>
    <n v="18.32"/>
    <n v="384.72"/>
    <x v="46"/>
    <d v="1899-12-30T15:05:00"/>
    <x v="0"/>
    <x v="746"/>
    <n v="4.7619047620000003"/>
    <n v="18.32"/>
    <n v="8.4"/>
  </r>
  <r>
    <s v="288-38-3758"/>
    <s v="C"/>
    <x v="1"/>
    <x v="0"/>
    <s v="Female"/>
    <x v="5"/>
    <n v="84.87"/>
    <n v="3"/>
    <n v="12.730499999999999"/>
    <n v="267.34050000000002"/>
    <x v="25"/>
    <d v="1899-12-30T18:30:00"/>
    <x v="0"/>
    <x v="747"/>
    <n v="4.7619047620000003"/>
    <n v="12.730499999999999"/>
    <n v="7.4"/>
  </r>
  <r>
    <s v="652-43-6591"/>
    <s v="A"/>
    <x v="0"/>
    <x v="1"/>
    <s v="Female"/>
    <x v="5"/>
    <n v="97.29"/>
    <n v="8"/>
    <n v="38.915999999999997"/>
    <n v="817.23599999999999"/>
    <x v="11"/>
    <d v="1899-12-30T13:18:00"/>
    <x v="2"/>
    <x v="748"/>
    <n v="4.7619047620000003"/>
    <n v="38.915999999999997"/>
    <n v="6.2"/>
  </r>
  <r>
    <s v="785-96-0615"/>
    <s v="B"/>
    <x v="2"/>
    <x v="0"/>
    <s v="Female"/>
    <x v="1"/>
    <n v="35.74"/>
    <n v="8"/>
    <n v="14.295999999999999"/>
    <n v="300.21600000000001"/>
    <x v="21"/>
    <d v="1899-12-30T15:28:00"/>
    <x v="0"/>
    <x v="749"/>
    <n v="4.7619047620000003"/>
    <n v="14.295999999999999"/>
    <n v="4.9000000000000004"/>
  </r>
  <r>
    <s v="406-46-7107"/>
    <s v="A"/>
    <x v="0"/>
    <x v="1"/>
    <s v="Female"/>
    <x v="2"/>
    <n v="96.52"/>
    <n v="6"/>
    <n v="28.956"/>
    <n v="608.07600000000002"/>
    <x v="83"/>
    <d v="1899-12-30T11:52:00"/>
    <x v="1"/>
    <x v="750"/>
    <n v="4.7619047620000003"/>
    <n v="28.956"/>
    <n v="4.5"/>
  </r>
  <r>
    <s v="250-17-5703"/>
    <s v="A"/>
    <x v="0"/>
    <x v="0"/>
    <s v="Male"/>
    <x v="4"/>
    <n v="18.850000000000001"/>
    <n v="10"/>
    <n v="9.4250000000000007"/>
    <n v="197.92500000000001"/>
    <x v="33"/>
    <d v="1899-12-30T18:24:00"/>
    <x v="0"/>
    <x v="751"/>
    <n v="4.7619047620000003"/>
    <n v="9.4250000000000007"/>
    <n v="5.6"/>
  </r>
  <r>
    <s v="156-95-3964"/>
    <s v="A"/>
    <x v="0"/>
    <x v="1"/>
    <s v="Female"/>
    <x v="4"/>
    <n v="55.39"/>
    <n v="4"/>
    <n v="11.077999999999999"/>
    <n v="232.63800000000001"/>
    <x v="5"/>
    <d v="1899-12-30T15:19:00"/>
    <x v="0"/>
    <x v="752"/>
    <n v="4.7619047620000003"/>
    <n v="11.077999999999999"/>
    <n v="8"/>
  </r>
  <r>
    <s v="842-40-8179"/>
    <s v="B"/>
    <x v="2"/>
    <x v="0"/>
    <s v="Female"/>
    <x v="4"/>
    <n v="77.2"/>
    <n v="10"/>
    <n v="38.6"/>
    <n v="810.6"/>
    <x v="48"/>
    <d v="1899-12-30T10:38:00"/>
    <x v="2"/>
    <x v="753"/>
    <n v="4.7619047620000003"/>
    <n v="38.6"/>
    <n v="5.6"/>
  </r>
  <r>
    <s v="525-09-8450"/>
    <s v="B"/>
    <x v="2"/>
    <x v="1"/>
    <s v="Male"/>
    <x v="1"/>
    <n v="72.13"/>
    <n v="10"/>
    <n v="36.064999999999998"/>
    <n v="757.36500000000001"/>
    <x v="82"/>
    <d v="1899-12-30T15:12:00"/>
    <x v="2"/>
    <x v="754"/>
    <n v="4.7619047620000003"/>
    <n v="36.064999999999998"/>
    <n v="4.2"/>
  </r>
  <r>
    <s v="410-67-1709"/>
    <s v="A"/>
    <x v="0"/>
    <x v="0"/>
    <s v="Female"/>
    <x v="5"/>
    <n v="63.88"/>
    <n v="8"/>
    <n v="25.552"/>
    <n v="536.59199999999998"/>
    <x v="40"/>
    <d v="1899-12-30T17:48:00"/>
    <x v="0"/>
    <x v="755"/>
    <n v="4.7619047620000003"/>
    <n v="25.552"/>
    <n v="9.9"/>
  </r>
  <r>
    <s v="587-73-4862"/>
    <s v="A"/>
    <x v="0"/>
    <x v="0"/>
    <s v="Female"/>
    <x v="0"/>
    <n v="10.69"/>
    <n v="5"/>
    <n v="2.6724999999999999"/>
    <n v="56.122500000000002"/>
    <x v="58"/>
    <d v="1899-12-30T11:07:00"/>
    <x v="0"/>
    <x v="756"/>
    <n v="4.7619047620000003"/>
    <n v="2.6724999999999999"/>
    <n v="7.6"/>
  </r>
  <r>
    <s v="787-87-2010"/>
    <s v="A"/>
    <x v="0"/>
    <x v="0"/>
    <s v="Male"/>
    <x v="0"/>
    <n v="55.5"/>
    <n v="4"/>
    <n v="11.1"/>
    <n v="233.1"/>
    <x v="40"/>
    <d v="1899-12-30T15:48:00"/>
    <x v="2"/>
    <x v="757"/>
    <n v="4.7619047620000003"/>
    <n v="11.1"/>
    <n v="6.6"/>
  </r>
  <r>
    <s v="593-14-4239"/>
    <s v="B"/>
    <x v="2"/>
    <x v="1"/>
    <s v="Female"/>
    <x v="2"/>
    <n v="95.46"/>
    <n v="8"/>
    <n v="38.183999999999997"/>
    <n v="801.86400000000003"/>
    <x v="19"/>
    <d v="1899-12-30T19:40:00"/>
    <x v="0"/>
    <x v="758"/>
    <n v="4.7619047620000003"/>
    <n v="38.183999999999997"/>
    <n v="4.7"/>
  </r>
  <r>
    <s v="801-88-0346"/>
    <s v="C"/>
    <x v="1"/>
    <x v="1"/>
    <s v="Female"/>
    <x v="5"/>
    <n v="76.06"/>
    <n v="3"/>
    <n v="11.409000000000001"/>
    <n v="239.589"/>
    <x v="0"/>
    <d v="1899-12-30T20:30:00"/>
    <x v="2"/>
    <x v="759"/>
    <n v="4.7619047620000003"/>
    <n v="11.409000000000001"/>
    <n v="9.8000000000000007"/>
  </r>
  <r>
    <s v="388-76-2555"/>
    <s v="B"/>
    <x v="2"/>
    <x v="1"/>
    <s v="Male"/>
    <x v="3"/>
    <n v="13.69"/>
    <n v="6"/>
    <n v="4.1070000000000002"/>
    <n v="86.247"/>
    <x v="77"/>
    <d v="1899-12-30T13:59:00"/>
    <x v="1"/>
    <x v="760"/>
    <n v="4.7619047620000003"/>
    <n v="4.1070000000000002"/>
    <n v="6.3"/>
  </r>
  <r>
    <s v="711-31-1234"/>
    <s v="B"/>
    <x v="2"/>
    <x v="1"/>
    <s v="Female"/>
    <x v="1"/>
    <n v="95.64"/>
    <n v="4"/>
    <n v="19.128"/>
    <n v="401.68799999999999"/>
    <x v="32"/>
    <d v="1899-12-30T18:51:00"/>
    <x v="1"/>
    <x v="761"/>
    <n v="4.7619047620000003"/>
    <n v="19.128"/>
    <n v="7.9"/>
  </r>
  <r>
    <s v="886-54-6089"/>
    <s v="A"/>
    <x v="0"/>
    <x v="1"/>
    <s v="Female"/>
    <x v="2"/>
    <n v="11.43"/>
    <n v="6"/>
    <n v="3.4289999999999998"/>
    <n v="72.009"/>
    <x v="15"/>
    <d v="1899-12-30T17:24:00"/>
    <x v="1"/>
    <x v="762"/>
    <n v="4.7619047620000003"/>
    <n v="3.4289999999999998"/>
    <n v="7.7"/>
  </r>
  <r>
    <s v="707-32-7409"/>
    <s v="B"/>
    <x v="2"/>
    <x v="0"/>
    <s v="Female"/>
    <x v="3"/>
    <n v="95.54"/>
    <n v="4"/>
    <n v="19.108000000000001"/>
    <n v="401.26799999999997"/>
    <x v="84"/>
    <d v="1899-12-30T11:58:00"/>
    <x v="0"/>
    <x v="763"/>
    <n v="4.7619047620000003"/>
    <n v="19.108000000000001"/>
    <n v="4.5"/>
  </r>
  <r>
    <s v="759-98-4285"/>
    <s v="C"/>
    <x v="1"/>
    <x v="0"/>
    <s v="Female"/>
    <x v="0"/>
    <n v="85.87"/>
    <n v="7"/>
    <n v="30.054500000000001"/>
    <n v="631.14449999999999"/>
    <x v="33"/>
    <d v="1899-12-30T19:01:00"/>
    <x v="2"/>
    <x v="764"/>
    <n v="4.7619047620000003"/>
    <n v="30.054500000000001"/>
    <n v="8"/>
  </r>
  <r>
    <s v="201-63-8275"/>
    <s v="C"/>
    <x v="1"/>
    <x v="0"/>
    <s v="Female"/>
    <x v="3"/>
    <n v="67.989999999999995"/>
    <n v="7"/>
    <n v="23.796500000000002"/>
    <n v="499.72649999999999"/>
    <x v="21"/>
    <d v="1899-12-30T16:50:00"/>
    <x v="0"/>
    <x v="765"/>
    <n v="4.7619047620000003"/>
    <n v="23.796500000000002"/>
    <n v="5.7"/>
  </r>
  <r>
    <s v="471-06-8611"/>
    <s v="C"/>
    <x v="1"/>
    <x v="1"/>
    <s v="Female"/>
    <x v="4"/>
    <n v="52.42"/>
    <n v="1"/>
    <n v="2.621"/>
    <n v="55.040999999999997"/>
    <x v="10"/>
    <d v="1899-12-30T10:22:00"/>
    <x v="2"/>
    <x v="766"/>
    <n v="4.7619047620000003"/>
    <n v="2.621"/>
    <n v="6.3"/>
  </r>
  <r>
    <s v="200-16-5952"/>
    <s v="C"/>
    <x v="1"/>
    <x v="0"/>
    <s v="Male"/>
    <x v="4"/>
    <n v="65.650000000000006"/>
    <n v="2"/>
    <n v="6.5650000000000004"/>
    <n v="137.86500000000001"/>
    <x v="29"/>
    <d v="1899-12-30T16:46:00"/>
    <x v="1"/>
    <x v="767"/>
    <n v="4.7619047620000003"/>
    <n v="6.5650000000000004"/>
    <n v="6"/>
  </r>
  <r>
    <s v="120-54-2248"/>
    <s v="B"/>
    <x v="2"/>
    <x v="1"/>
    <s v="Female"/>
    <x v="4"/>
    <n v="28.86"/>
    <n v="5"/>
    <n v="7.2149999999999999"/>
    <n v="151.51499999999999"/>
    <x v="49"/>
    <d v="1899-12-30T18:08:00"/>
    <x v="2"/>
    <x v="768"/>
    <n v="4.7619047620000003"/>
    <n v="7.2149999999999999"/>
    <n v="8"/>
  </r>
  <r>
    <s v="102-77-2261"/>
    <s v="C"/>
    <x v="1"/>
    <x v="0"/>
    <s v="Male"/>
    <x v="0"/>
    <n v="65.31"/>
    <n v="7"/>
    <n v="22.858499999999999"/>
    <n v="480.02850000000001"/>
    <x v="19"/>
    <d v="1899-12-30T18:02:00"/>
    <x v="2"/>
    <x v="769"/>
    <n v="4.7619047620000003"/>
    <n v="22.858499999999999"/>
    <n v="4.2"/>
  </r>
  <r>
    <s v="875-31-8302"/>
    <s v="B"/>
    <x v="2"/>
    <x v="1"/>
    <s v="Male"/>
    <x v="3"/>
    <n v="93.38"/>
    <n v="1"/>
    <n v="4.6689999999999996"/>
    <n v="98.049000000000007"/>
    <x v="75"/>
    <d v="1899-12-30T13:07:00"/>
    <x v="1"/>
    <x v="770"/>
    <n v="4.7619047620000003"/>
    <n v="4.6689999999999996"/>
    <n v="9.6"/>
  </r>
  <r>
    <s v="102-06-2002"/>
    <s v="C"/>
    <x v="1"/>
    <x v="0"/>
    <s v="Male"/>
    <x v="3"/>
    <n v="25.25"/>
    <n v="5"/>
    <n v="6.3125"/>
    <n v="132.5625"/>
    <x v="80"/>
    <d v="1899-12-30T17:52:00"/>
    <x v="1"/>
    <x v="771"/>
    <n v="4.7619047620000003"/>
    <n v="6.3125"/>
    <n v="6.1"/>
  </r>
  <r>
    <s v="457-94-0464"/>
    <s v="B"/>
    <x v="2"/>
    <x v="0"/>
    <s v="Male"/>
    <x v="1"/>
    <n v="87.87"/>
    <n v="9"/>
    <n v="39.541499999999999"/>
    <n v="830.37149999999997"/>
    <x v="82"/>
    <d v="1899-12-30T20:32:00"/>
    <x v="0"/>
    <x v="772"/>
    <n v="4.7619047620000003"/>
    <n v="39.541499999999999"/>
    <n v="5.6"/>
  </r>
  <r>
    <s v="629-42-4133"/>
    <s v="C"/>
    <x v="1"/>
    <x v="1"/>
    <s v="Male"/>
    <x v="0"/>
    <n v="21.8"/>
    <n v="8"/>
    <n v="8.7200000000000006"/>
    <n v="183.12"/>
    <x v="88"/>
    <d v="1899-12-30T19:24:00"/>
    <x v="1"/>
    <x v="773"/>
    <n v="4.7619047620000003"/>
    <n v="8.7200000000000006"/>
    <n v="8.3000000000000007"/>
  </r>
  <r>
    <s v="534-53-3526"/>
    <s v="A"/>
    <x v="0"/>
    <x v="1"/>
    <s v="Female"/>
    <x v="3"/>
    <n v="94.76"/>
    <n v="4"/>
    <n v="18.952000000000002"/>
    <n v="397.99200000000002"/>
    <x v="48"/>
    <d v="1899-12-30T16:06:00"/>
    <x v="0"/>
    <x v="774"/>
    <n v="4.7619047620000003"/>
    <n v="18.952000000000002"/>
    <n v="7.8"/>
  </r>
  <r>
    <s v="307-04-2070"/>
    <s v="A"/>
    <x v="0"/>
    <x v="0"/>
    <s v="Female"/>
    <x v="5"/>
    <n v="30.62"/>
    <n v="1"/>
    <n v="1.5309999999999999"/>
    <n v="32.151000000000003"/>
    <x v="63"/>
    <d v="1899-12-30T14:14:00"/>
    <x v="2"/>
    <x v="775"/>
    <n v="4.7619047620000003"/>
    <n v="1.5309999999999999"/>
    <n v="4.0999999999999996"/>
  </r>
  <r>
    <s v="468-99-7231"/>
    <s v="C"/>
    <x v="1"/>
    <x v="1"/>
    <s v="Female"/>
    <x v="2"/>
    <n v="44.01"/>
    <n v="8"/>
    <n v="17.603999999999999"/>
    <n v="369.68400000000003"/>
    <x v="2"/>
    <d v="1899-12-30T17:36:00"/>
    <x v="1"/>
    <x v="776"/>
    <n v="4.7619047620000003"/>
    <n v="17.603999999999999"/>
    <n v="8.8000000000000007"/>
  </r>
  <r>
    <s v="516-77-6464"/>
    <s v="C"/>
    <x v="1"/>
    <x v="0"/>
    <s v="Female"/>
    <x v="0"/>
    <n v="10.16"/>
    <n v="5"/>
    <n v="2.54"/>
    <n v="53.34"/>
    <x v="7"/>
    <d v="1899-12-30T13:08:00"/>
    <x v="0"/>
    <x v="777"/>
    <n v="4.7619047620000003"/>
    <n v="2.54"/>
    <n v="4.0999999999999996"/>
  </r>
  <r>
    <s v="404-91-5964"/>
    <s v="A"/>
    <x v="0"/>
    <x v="1"/>
    <s v="Male"/>
    <x v="1"/>
    <n v="74.58"/>
    <n v="7"/>
    <n v="26.103000000000002"/>
    <n v="548.16300000000001"/>
    <x v="87"/>
    <d v="1899-12-30T16:09:00"/>
    <x v="2"/>
    <x v="778"/>
    <n v="4.7619047620000003"/>
    <n v="26.103000000000002"/>
    <n v="9"/>
  </r>
  <r>
    <s v="886-77-9084"/>
    <s v="C"/>
    <x v="1"/>
    <x v="1"/>
    <s v="Male"/>
    <x v="1"/>
    <n v="71.89"/>
    <n v="8"/>
    <n v="28.756"/>
    <n v="603.87599999999998"/>
    <x v="88"/>
    <d v="1899-12-30T11:33:00"/>
    <x v="0"/>
    <x v="779"/>
    <n v="4.7619047620000003"/>
    <n v="28.756"/>
    <n v="5.5"/>
  </r>
  <r>
    <s v="790-38-4466"/>
    <s v="C"/>
    <x v="1"/>
    <x v="1"/>
    <s v="Female"/>
    <x v="0"/>
    <n v="10.99"/>
    <n v="5"/>
    <n v="2.7475000000000001"/>
    <n v="57.697499999999998"/>
    <x v="54"/>
    <d v="1899-12-30T10:18:00"/>
    <x v="2"/>
    <x v="780"/>
    <n v="4.7619047620000003"/>
    <n v="2.7475000000000001"/>
    <n v="9.3000000000000007"/>
  </r>
  <r>
    <s v="704-10-4056"/>
    <s v="C"/>
    <x v="1"/>
    <x v="0"/>
    <s v="Male"/>
    <x v="0"/>
    <n v="60.47"/>
    <n v="3"/>
    <n v="9.0704999999999991"/>
    <n v="190.48050000000001"/>
    <x v="78"/>
    <d v="1899-12-30T10:55:00"/>
    <x v="2"/>
    <x v="781"/>
    <n v="4.7619047620000003"/>
    <n v="9.0704999999999991"/>
    <n v="5.6"/>
  </r>
  <r>
    <s v="497-37-6538"/>
    <s v="A"/>
    <x v="0"/>
    <x v="1"/>
    <s v="Male"/>
    <x v="3"/>
    <n v="58.91"/>
    <n v="7"/>
    <n v="20.618500000000001"/>
    <n v="432.98849999999999"/>
    <x v="29"/>
    <d v="1899-12-30T15:15:00"/>
    <x v="0"/>
    <x v="782"/>
    <n v="4.7619047620000003"/>
    <n v="20.618500000000001"/>
    <n v="9.6999999999999993"/>
  </r>
  <r>
    <s v="651-96-5970"/>
    <s v="A"/>
    <x v="0"/>
    <x v="1"/>
    <s v="Male"/>
    <x v="5"/>
    <n v="46.41"/>
    <n v="1"/>
    <n v="2.3205"/>
    <n v="48.730499999999999"/>
    <x v="2"/>
    <d v="1899-12-30T20:06:00"/>
    <x v="2"/>
    <x v="783"/>
    <n v="4.7619047620000003"/>
    <n v="2.3205"/>
    <n v="4"/>
  </r>
  <r>
    <s v="400-80-4065"/>
    <s v="C"/>
    <x v="1"/>
    <x v="0"/>
    <s v="Male"/>
    <x v="0"/>
    <n v="68.55"/>
    <n v="4"/>
    <n v="13.71"/>
    <n v="287.91000000000003"/>
    <x v="42"/>
    <d v="1899-12-30T20:21:00"/>
    <x v="2"/>
    <x v="784"/>
    <n v="4.7619047620000003"/>
    <n v="13.71"/>
    <n v="9.1999999999999993"/>
  </r>
  <r>
    <s v="744-16-7898"/>
    <s v="B"/>
    <x v="2"/>
    <x v="1"/>
    <s v="Female"/>
    <x v="2"/>
    <n v="97.37"/>
    <n v="10"/>
    <n v="48.685000000000002"/>
    <n v="1022.385"/>
    <x v="15"/>
    <d v="1899-12-30T13:48:00"/>
    <x v="2"/>
    <x v="785"/>
    <n v="4.7619047620000003"/>
    <n v="48.685000000000002"/>
    <n v="4.9000000000000004"/>
  </r>
  <r>
    <s v="263-12-5321"/>
    <s v="A"/>
    <x v="0"/>
    <x v="0"/>
    <s v="Male"/>
    <x v="1"/>
    <n v="92.6"/>
    <n v="7"/>
    <n v="32.409999999999997"/>
    <n v="680.61"/>
    <x v="33"/>
    <d v="1899-12-30T12:52:00"/>
    <x v="2"/>
    <x v="786"/>
    <n v="4.7619047620000003"/>
    <n v="32.409999999999997"/>
    <n v="9.3000000000000007"/>
  </r>
  <r>
    <s v="702-72-0487"/>
    <s v="A"/>
    <x v="0"/>
    <x v="1"/>
    <s v="Female"/>
    <x v="1"/>
    <n v="46.61"/>
    <n v="2"/>
    <n v="4.6609999999999996"/>
    <n v="97.881"/>
    <x v="84"/>
    <d v="1899-12-30T12:28:00"/>
    <x v="2"/>
    <x v="787"/>
    <n v="4.7619047620000003"/>
    <n v="4.6609999999999996"/>
    <n v="6.6"/>
  </r>
  <r>
    <s v="605-83-1050"/>
    <s v="B"/>
    <x v="2"/>
    <x v="1"/>
    <s v="Male"/>
    <x v="5"/>
    <n v="27.18"/>
    <n v="2"/>
    <n v="2.718"/>
    <n v="57.078000000000003"/>
    <x v="20"/>
    <d v="1899-12-30T16:26:00"/>
    <x v="0"/>
    <x v="788"/>
    <n v="4.7619047620000003"/>
    <n v="2.718"/>
    <n v="4.3"/>
  </r>
  <r>
    <s v="443-60-9639"/>
    <s v="C"/>
    <x v="1"/>
    <x v="0"/>
    <s v="Female"/>
    <x v="2"/>
    <n v="60.87"/>
    <n v="1"/>
    <n v="3.0434999999999999"/>
    <n v="63.913499999999999"/>
    <x v="46"/>
    <d v="1899-12-30T13:24:00"/>
    <x v="1"/>
    <x v="789"/>
    <n v="4.7619047620000003"/>
    <n v="3.0434999999999999"/>
    <n v="5.5"/>
  </r>
  <r>
    <s v="864-24-7918"/>
    <s v="A"/>
    <x v="0"/>
    <x v="0"/>
    <s v="Female"/>
    <x v="3"/>
    <n v="24.49"/>
    <n v="10"/>
    <n v="12.244999999999999"/>
    <n v="257.14499999999998"/>
    <x v="70"/>
    <d v="1899-12-30T15:15:00"/>
    <x v="1"/>
    <x v="790"/>
    <n v="4.7619047620000003"/>
    <n v="12.244999999999999"/>
    <n v="8.1"/>
  </r>
  <r>
    <s v="359-94-5395"/>
    <s v="B"/>
    <x v="2"/>
    <x v="1"/>
    <s v="Male"/>
    <x v="0"/>
    <n v="92.78"/>
    <n v="1"/>
    <n v="4.6390000000000002"/>
    <n v="97.418999999999997"/>
    <x v="20"/>
    <d v="1899-12-30T10:50:00"/>
    <x v="2"/>
    <x v="791"/>
    <n v="4.7619047620000003"/>
    <n v="4.6390000000000002"/>
    <n v="9.8000000000000007"/>
  </r>
  <r>
    <s v="401-09-4232"/>
    <s v="C"/>
    <x v="1"/>
    <x v="0"/>
    <s v="Male"/>
    <x v="2"/>
    <n v="86.69"/>
    <n v="5"/>
    <n v="21.672499999999999"/>
    <n v="455.1225"/>
    <x v="48"/>
    <d v="1899-12-30T18:38:00"/>
    <x v="0"/>
    <x v="792"/>
    <n v="4.7619047620000003"/>
    <n v="21.672499999999999"/>
    <n v="9.4"/>
  </r>
  <r>
    <s v="751-15-6198"/>
    <s v="B"/>
    <x v="2"/>
    <x v="1"/>
    <s v="Male"/>
    <x v="3"/>
    <n v="23.01"/>
    <n v="6"/>
    <n v="6.9029999999999996"/>
    <n v="144.96299999999999"/>
    <x v="52"/>
    <d v="1899-12-30T16:45:00"/>
    <x v="0"/>
    <x v="793"/>
    <n v="4.7619047620000003"/>
    <n v="6.9029999999999996"/>
    <n v="7.9"/>
  </r>
  <r>
    <s v="324-41-6833"/>
    <s v="C"/>
    <x v="1"/>
    <x v="0"/>
    <s v="Female"/>
    <x v="1"/>
    <n v="30.2"/>
    <n v="8"/>
    <n v="12.08"/>
    <n v="253.68"/>
    <x v="2"/>
    <d v="1899-12-30T19:30:00"/>
    <x v="0"/>
    <x v="794"/>
    <n v="4.7619047620000003"/>
    <n v="12.08"/>
    <n v="5.0999999999999996"/>
  </r>
  <r>
    <s v="474-33-8305"/>
    <s v="C"/>
    <x v="1"/>
    <x v="0"/>
    <s v="Male"/>
    <x v="5"/>
    <n v="67.39"/>
    <n v="7"/>
    <n v="23.586500000000001"/>
    <n v="495.31650000000002"/>
    <x v="28"/>
    <d v="1899-12-30T13:23:00"/>
    <x v="0"/>
    <x v="795"/>
    <n v="4.7619047620000003"/>
    <n v="23.586500000000001"/>
    <n v="6.9"/>
  </r>
  <r>
    <s v="759-29-9521"/>
    <s v="A"/>
    <x v="0"/>
    <x v="0"/>
    <s v="Female"/>
    <x v="5"/>
    <n v="48.96"/>
    <n v="9"/>
    <n v="22.032"/>
    <n v="462.67200000000003"/>
    <x v="31"/>
    <d v="1899-12-30T11:27:00"/>
    <x v="1"/>
    <x v="796"/>
    <n v="4.7619047620000003"/>
    <n v="22.032"/>
    <n v="8"/>
  </r>
  <r>
    <s v="831-81-6575"/>
    <s v="B"/>
    <x v="2"/>
    <x v="0"/>
    <s v="Female"/>
    <x v="1"/>
    <n v="75.59"/>
    <n v="9"/>
    <n v="34.015500000000003"/>
    <n v="714.32550000000003"/>
    <x v="55"/>
    <d v="1899-12-30T11:12:00"/>
    <x v="1"/>
    <x v="797"/>
    <n v="4.7619047620000003"/>
    <n v="34.015500000000003"/>
    <n v="8"/>
  </r>
  <r>
    <s v="220-68-6701"/>
    <s v="A"/>
    <x v="0"/>
    <x v="1"/>
    <s v="Female"/>
    <x v="2"/>
    <n v="77.47"/>
    <n v="4"/>
    <n v="15.494"/>
    <n v="325.37400000000002"/>
    <x v="85"/>
    <d v="1899-12-30T16:36:00"/>
    <x v="1"/>
    <x v="798"/>
    <n v="4.7619047620000003"/>
    <n v="15.494"/>
    <n v="4.2"/>
  </r>
  <r>
    <s v="618-34-8551"/>
    <s v="A"/>
    <x v="0"/>
    <x v="1"/>
    <s v="Female"/>
    <x v="3"/>
    <n v="93.18"/>
    <n v="2"/>
    <n v="9.3179999999999996"/>
    <n v="195.678"/>
    <x v="65"/>
    <d v="1899-12-30T18:41:00"/>
    <x v="2"/>
    <x v="799"/>
    <n v="4.7619047620000003"/>
    <n v="9.3179999999999996"/>
    <n v="8.5"/>
  </r>
  <r>
    <s v="257-60-7754"/>
    <s v="A"/>
    <x v="0"/>
    <x v="1"/>
    <s v="Female"/>
    <x v="1"/>
    <n v="50.23"/>
    <n v="4"/>
    <n v="10.045999999999999"/>
    <n v="210.96600000000001"/>
    <x v="66"/>
    <d v="1899-12-30T17:12:00"/>
    <x v="1"/>
    <x v="800"/>
    <n v="4.7619047620000003"/>
    <n v="10.045999999999999"/>
    <n v="9"/>
  </r>
  <r>
    <s v="559-61-5987"/>
    <s v="B"/>
    <x v="2"/>
    <x v="1"/>
    <s v="Female"/>
    <x v="0"/>
    <n v="17.75"/>
    <n v="1"/>
    <n v="0.88749999999999996"/>
    <n v="18.637499999999999"/>
    <x v="78"/>
    <d v="1899-12-30T10:38:00"/>
    <x v="1"/>
    <x v="801"/>
    <n v="4.7619047620000003"/>
    <n v="0.88749999999999996"/>
    <n v="8.6"/>
  </r>
  <r>
    <s v="189-55-2313"/>
    <s v="C"/>
    <x v="1"/>
    <x v="1"/>
    <s v="Female"/>
    <x v="5"/>
    <n v="62.18"/>
    <n v="10"/>
    <n v="31.09"/>
    <n v="652.89"/>
    <x v="82"/>
    <d v="1899-12-30T10:33:00"/>
    <x v="0"/>
    <x v="802"/>
    <n v="4.7619047620000003"/>
    <n v="31.09"/>
    <n v="6"/>
  </r>
  <r>
    <s v="565-91-4567"/>
    <s v="B"/>
    <x v="2"/>
    <x v="1"/>
    <s v="Male"/>
    <x v="0"/>
    <n v="10.75"/>
    <n v="8"/>
    <n v="4.3"/>
    <n v="90.3"/>
    <x v="20"/>
    <d v="1899-12-30T14:38:00"/>
    <x v="0"/>
    <x v="803"/>
    <n v="4.7619047620000003"/>
    <n v="4.3"/>
    <n v="6.2"/>
  </r>
  <r>
    <s v="380-60-5336"/>
    <s v="A"/>
    <x v="0"/>
    <x v="1"/>
    <s v="Female"/>
    <x v="1"/>
    <n v="40.26"/>
    <n v="10"/>
    <n v="20.13"/>
    <n v="422.73"/>
    <x v="7"/>
    <d v="1899-12-30T18:06:00"/>
    <x v="2"/>
    <x v="804"/>
    <n v="4.7619047620000003"/>
    <n v="20.13"/>
    <n v="5"/>
  </r>
  <r>
    <s v="815-04-6282"/>
    <s v="C"/>
    <x v="1"/>
    <x v="0"/>
    <s v="Female"/>
    <x v="3"/>
    <n v="64.97"/>
    <n v="5"/>
    <n v="16.2425"/>
    <n v="341.09249999999997"/>
    <x v="4"/>
    <d v="1899-12-30T12:52:00"/>
    <x v="2"/>
    <x v="805"/>
    <n v="4.7619047620000003"/>
    <n v="16.2425"/>
    <n v="6.5"/>
  </r>
  <r>
    <s v="674-56-6360"/>
    <s v="A"/>
    <x v="0"/>
    <x v="1"/>
    <s v="Male"/>
    <x v="1"/>
    <n v="95.15"/>
    <n v="1"/>
    <n v="4.7575000000000003"/>
    <n v="99.907499999999999"/>
    <x v="23"/>
    <d v="1899-12-30T14:00:00"/>
    <x v="1"/>
    <x v="806"/>
    <n v="4.7619047620000003"/>
    <n v="4.7575000000000003"/>
    <n v="6"/>
  </r>
  <r>
    <s v="778-34-2523"/>
    <s v="A"/>
    <x v="0"/>
    <x v="0"/>
    <s v="Female"/>
    <x v="1"/>
    <n v="48.62"/>
    <n v="8"/>
    <n v="19.448"/>
    <n v="408.40800000000002"/>
    <x v="46"/>
    <d v="1899-12-30T10:57:00"/>
    <x v="1"/>
    <x v="807"/>
    <n v="4.7619047620000003"/>
    <n v="19.448"/>
    <n v="5"/>
  </r>
  <r>
    <s v="499-27-7781"/>
    <s v="B"/>
    <x v="2"/>
    <x v="1"/>
    <s v="Female"/>
    <x v="4"/>
    <n v="53.21"/>
    <n v="8"/>
    <n v="21.283999999999999"/>
    <n v="446.964"/>
    <x v="86"/>
    <d v="1899-12-30T16:45:00"/>
    <x v="0"/>
    <x v="808"/>
    <n v="4.7619047620000003"/>
    <n v="21.283999999999999"/>
    <n v="5"/>
  </r>
  <r>
    <s v="477-59-2456"/>
    <s v="C"/>
    <x v="1"/>
    <x v="1"/>
    <s v="Female"/>
    <x v="5"/>
    <n v="45.44"/>
    <n v="7"/>
    <n v="15.904"/>
    <n v="333.98399999999998"/>
    <x v="54"/>
    <d v="1899-12-30T11:15:00"/>
    <x v="1"/>
    <x v="809"/>
    <n v="4.7619047620000003"/>
    <n v="15.904"/>
    <n v="9.1999999999999993"/>
  </r>
  <r>
    <s v="832-51-6761"/>
    <s v="A"/>
    <x v="0"/>
    <x v="1"/>
    <s v="Male"/>
    <x v="4"/>
    <n v="33.880000000000003"/>
    <n v="8"/>
    <n v="13.552"/>
    <n v="284.59199999999998"/>
    <x v="64"/>
    <d v="1899-12-30T20:29:00"/>
    <x v="0"/>
    <x v="810"/>
    <n v="4.7619047620000003"/>
    <n v="13.552"/>
    <n v="9.6"/>
  </r>
  <r>
    <s v="869-11-3082"/>
    <s v="B"/>
    <x v="2"/>
    <x v="0"/>
    <s v="Male"/>
    <x v="0"/>
    <n v="96.16"/>
    <n v="4"/>
    <n v="19.231999999999999"/>
    <n v="403.87200000000001"/>
    <x v="3"/>
    <d v="1899-12-30T20:03:00"/>
    <x v="2"/>
    <x v="811"/>
    <n v="4.7619047620000003"/>
    <n v="19.231999999999999"/>
    <n v="8.4"/>
  </r>
  <r>
    <s v="190-59-3964"/>
    <s v="B"/>
    <x v="2"/>
    <x v="0"/>
    <s v="Male"/>
    <x v="4"/>
    <n v="47.16"/>
    <n v="5"/>
    <n v="11.79"/>
    <n v="247.59"/>
    <x v="36"/>
    <d v="1899-12-30T14:35:00"/>
    <x v="2"/>
    <x v="812"/>
    <n v="4.7619047620000003"/>
    <n v="11.79"/>
    <n v="6"/>
  </r>
  <r>
    <s v="366-43-6862"/>
    <s v="B"/>
    <x v="2"/>
    <x v="1"/>
    <s v="Male"/>
    <x v="1"/>
    <n v="52.89"/>
    <n v="4"/>
    <n v="10.577999999999999"/>
    <n v="222.13800000000001"/>
    <x v="5"/>
    <d v="1899-12-30T16:32:00"/>
    <x v="0"/>
    <x v="813"/>
    <n v="4.7619047620000003"/>
    <n v="10.577999999999999"/>
    <n v="6.7"/>
  </r>
  <r>
    <s v="186-43-8965"/>
    <s v="A"/>
    <x v="0"/>
    <x v="0"/>
    <s v="Female"/>
    <x v="2"/>
    <n v="47.68"/>
    <n v="2"/>
    <n v="4.7679999999999998"/>
    <n v="100.128"/>
    <x v="7"/>
    <d v="1899-12-30T10:10:00"/>
    <x v="2"/>
    <x v="814"/>
    <n v="4.7619047620000003"/>
    <n v="4.7679999999999998"/>
    <n v="4.0999999999999996"/>
  </r>
  <r>
    <s v="784-21-9238"/>
    <s v="C"/>
    <x v="1"/>
    <x v="0"/>
    <s v="Male"/>
    <x v="3"/>
    <n v="10.17"/>
    <n v="1"/>
    <n v="0.50849999999999995"/>
    <n v="10.6785"/>
    <x v="13"/>
    <d v="1899-12-30T14:15:00"/>
    <x v="1"/>
    <x v="815"/>
    <n v="4.7619047620000003"/>
    <n v="0.50849999999999995"/>
    <n v="5.9"/>
  </r>
  <r>
    <s v="276-75-6884"/>
    <s v="A"/>
    <x v="0"/>
    <x v="1"/>
    <s v="Female"/>
    <x v="0"/>
    <n v="68.709999999999994"/>
    <n v="3"/>
    <n v="10.3065"/>
    <n v="216.4365"/>
    <x v="31"/>
    <d v="1899-12-30T10:05:00"/>
    <x v="1"/>
    <x v="816"/>
    <n v="4.7619047620000003"/>
    <n v="10.3065"/>
    <n v="8.6999999999999993"/>
  </r>
  <r>
    <s v="109-86-4363"/>
    <s v="B"/>
    <x v="2"/>
    <x v="0"/>
    <s v="Female"/>
    <x v="3"/>
    <n v="60.08"/>
    <n v="7"/>
    <n v="21.027999999999999"/>
    <n v="441.58800000000002"/>
    <x v="44"/>
    <d v="1899-12-30T11:36:00"/>
    <x v="2"/>
    <x v="817"/>
    <n v="4.7619047620000003"/>
    <n v="21.027999999999999"/>
    <n v="4.5"/>
  </r>
  <r>
    <s v="569-76-2760"/>
    <s v="A"/>
    <x v="0"/>
    <x v="0"/>
    <s v="Female"/>
    <x v="3"/>
    <n v="22.01"/>
    <n v="4"/>
    <n v="4.4020000000000001"/>
    <n v="92.441999999999993"/>
    <x v="71"/>
    <d v="1899-12-30T18:15:00"/>
    <x v="2"/>
    <x v="818"/>
    <n v="4.7619047620000003"/>
    <n v="4.4020000000000001"/>
    <n v="6.6"/>
  </r>
  <r>
    <s v="222-42-0244"/>
    <s v="B"/>
    <x v="2"/>
    <x v="0"/>
    <s v="Female"/>
    <x v="0"/>
    <n v="72.11"/>
    <n v="9"/>
    <n v="32.4495"/>
    <n v="681.43949999999995"/>
    <x v="26"/>
    <d v="1899-12-30T13:53:00"/>
    <x v="2"/>
    <x v="819"/>
    <n v="4.7619047620000003"/>
    <n v="32.4495"/>
    <n v="7.7"/>
  </r>
  <r>
    <s v="760-53-9233"/>
    <s v="A"/>
    <x v="0"/>
    <x v="0"/>
    <s v="Male"/>
    <x v="5"/>
    <n v="41.28"/>
    <n v="3"/>
    <n v="6.1920000000000002"/>
    <n v="130.03200000000001"/>
    <x v="58"/>
    <d v="1899-12-30T18:37:00"/>
    <x v="2"/>
    <x v="820"/>
    <n v="4.7619047620000003"/>
    <n v="6.1920000000000002"/>
    <n v="8.5"/>
  </r>
  <r>
    <s v="538-22-0304"/>
    <s v="C"/>
    <x v="1"/>
    <x v="1"/>
    <s v="Male"/>
    <x v="1"/>
    <n v="64.95"/>
    <n v="10"/>
    <n v="32.475000000000001"/>
    <n v="681.97500000000002"/>
    <x v="62"/>
    <d v="1899-12-30T18:27:00"/>
    <x v="1"/>
    <x v="821"/>
    <n v="4.7619047620000003"/>
    <n v="32.475000000000001"/>
    <n v="5.2"/>
  </r>
  <r>
    <s v="416-17-9926"/>
    <s v="A"/>
    <x v="0"/>
    <x v="0"/>
    <s v="Female"/>
    <x v="1"/>
    <n v="74.22"/>
    <n v="10"/>
    <n v="37.11"/>
    <n v="779.31"/>
    <x v="17"/>
    <d v="1899-12-30T14:42:00"/>
    <x v="2"/>
    <x v="822"/>
    <n v="4.7619047620000003"/>
    <n v="37.11"/>
    <n v="4.3"/>
  </r>
  <r>
    <s v="237-44-6163"/>
    <s v="A"/>
    <x v="0"/>
    <x v="1"/>
    <s v="Male"/>
    <x v="1"/>
    <n v="10.56"/>
    <n v="8"/>
    <n v="4.2240000000000002"/>
    <n v="88.703999999999994"/>
    <x v="46"/>
    <d v="1899-12-30T17:43:00"/>
    <x v="1"/>
    <x v="823"/>
    <n v="4.7619047620000003"/>
    <n v="4.2240000000000002"/>
    <n v="7.6"/>
  </r>
  <r>
    <s v="636-17-0325"/>
    <s v="B"/>
    <x v="2"/>
    <x v="1"/>
    <s v="Male"/>
    <x v="0"/>
    <n v="62.57"/>
    <n v="4"/>
    <n v="12.513999999999999"/>
    <n v="262.79399999999998"/>
    <x v="6"/>
    <d v="1899-12-30T18:37:00"/>
    <x v="1"/>
    <x v="824"/>
    <n v="4.7619047620000003"/>
    <n v="12.513999999999999"/>
    <n v="9.5"/>
  </r>
  <r>
    <s v="343-75-9322"/>
    <s v="B"/>
    <x v="2"/>
    <x v="0"/>
    <s v="Female"/>
    <x v="3"/>
    <n v="11.85"/>
    <n v="8"/>
    <n v="4.74"/>
    <n v="99.54"/>
    <x v="51"/>
    <d v="1899-12-30T16:34:00"/>
    <x v="1"/>
    <x v="825"/>
    <n v="4.7619047620000003"/>
    <n v="4.74"/>
    <n v="4.0999999999999996"/>
  </r>
  <r>
    <s v="528-14-9470"/>
    <s v="A"/>
    <x v="0"/>
    <x v="0"/>
    <s v="Male"/>
    <x v="0"/>
    <n v="91.3"/>
    <n v="1"/>
    <n v="4.5650000000000004"/>
    <n v="95.864999999999995"/>
    <x v="44"/>
    <d v="1899-12-30T14:42:00"/>
    <x v="0"/>
    <x v="826"/>
    <n v="4.7619047620000003"/>
    <n v="4.5650000000000004"/>
    <n v="9.1999999999999993"/>
  </r>
  <r>
    <s v="427-45-9297"/>
    <s v="B"/>
    <x v="2"/>
    <x v="0"/>
    <s v="Female"/>
    <x v="2"/>
    <n v="40.729999999999997"/>
    <n v="7"/>
    <n v="14.2555"/>
    <n v="299.3655"/>
    <x v="41"/>
    <d v="1899-12-30T11:01:00"/>
    <x v="0"/>
    <x v="827"/>
    <n v="4.7619047620000003"/>
    <n v="14.2555"/>
    <n v="5.4"/>
  </r>
  <r>
    <s v="807-34-3742"/>
    <s v="A"/>
    <x v="0"/>
    <x v="1"/>
    <s v="Male"/>
    <x v="5"/>
    <n v="52.38"/>
    <n v="1"/>
    <n v="2.6190000000000002"/>
    <n v="54.999000000000002"/>
    <x v="58"/>
    <d v="1899-12-30T19:44:00"/>
    <x v="1"/>
    <x v="828"/>
    <n v="4.7619047620000003"/>
    <n v="2.6190000000000002"/>
    <n v="5.8"/>
  </r>
  <r>
    <s v="288-62-1085"/>
    <s v="A"/>
    <x v="0"/>
    <x v="0"/>
    <s v="Male"/>
    <x v="5"/>
    <n v="38.54"/>
    <n v="5"/>
    <n v="9.6349999999999998"/>
    <n v="202.33500000000001"/>
    <x v="51"/>
    <d v="1899-12-30T13:34:00"/>
    <x v="0"/>
    <x v="829"/>
    <n v="4.7619047620000003"/>
    <n v="9.6349999999999998"/>
    <n v="5.6"/>
  </r>
  <r>
    <s v="670-71-7306"/>
    <s v="B"/>
    <x v="2"/>
    <x v="1"/>
    <s v="Male"/>
    <x v="3"/>
    <n v="44.63"/>
    <n v="6"/>
    <n v="13.388999999999999"/>
    <n v="281.16899999999998"/>
    <x v="56"/>
    <d v="1899-12-30T20:08:00"/>
    <x v="2"/>
    <x v="830"/>
    <n v="4.7619047620000003"/>
    <n v="13.388999999999999"/>
    <n v="5.0999999999999996"/>
  </r>
  <r>
    <s v="660-29-7083"/>
    <s v="C"/>
    <x v="1"/>
    <x v="1"/>
    <s v="Male"/>
    <x v="1"/>
    <n v="55.87"/>
    <n v="10"/>
    <n v="27.934999999999999"/>
    <n v="586.63499999999999"/>
    <x v="15"/>
    <d v="1899-12-30T15:01:00"/>
    <x v="1"/>
    <x v="831"/>
    <n v="4.7619047620000003"/>
    <n v="27.934999999999999"/>
    <n v="5.8"/>
  </r>
  <r>
    <s v="271-77-8740"/>
    <s v="C"/>
    <x v="1"/>
    <x v="0"/>
    <s v="Female"/>
    <x v="3"/>
    <n v="29.22"/>
    <n v="6"/>
    <n v="8.766"/>
    <n v="184.08600000000001"/>
    <x v="17"/>
    <d v="1899-12-30T11:40:00"/>
    <x v="0"/>
    <x v="832"/>
    <n v="4.7619047620000003"/>
    <n v="8.766"/>
    <n v="5"/>
  </r>
  <r>
    <s v="497-36-0989"/>
    <s v="A"/>
    <x v="0"/>
    <x v="1"/>
    <s v="Male"/>
    <x v="5"/>
    <n v="51.94"/>
    <n v="3"/>
    <n v="7.7910000000000004"/>
    <n v="163.61099999999999"/>
    <x v="42"/>
    <d v="1899-12-30T15:21:00"/>
    <x v="1"/>
    <x v="833"/>
    <n v="4.7619047620000003"/>
    <n v="7.7910000000000004"/>
    <n v="7.9"/>
  </r>
  <r>
    <s v="291-59-1384"/>
    <s v="B"/>
    <x v="2"/>
    <x v="1"/>
    <s v="Male"/>
    <x v="1"/>
    <n v="60.3"/>
    <n v="1"/>
    <n v="3.0150000000000001"/>
    <n v="63.314999999999998"/>
    <x v="38"/>
    <d v="1899-12-30T17:38:00"/>
    <x v="1"/>
    <x v="834"/>
    <n v="4.7619047620000003"/>
    <n v="3.0150000000000001"/>
    <n v="6"/>
  </r>
  <r>
    <s v="860-73-6466"/>
    <s v="A"/>
    <x v="0"/>
    <x v="0"/>
    <s v="Female"/>
    <x v="3"/>
    <n v="39.47"/>
    <n v="2"/>
    <n v="3.9470000000000001"/>
    <n v="82.887"/>
    <x v="22"/>
    <d v="1899-12-30T16:16:00"/>
    <x v="2"/>
    <x v="835"/>
    <n v="4.7619047620000003"/>
    <n v="3.9470000000000001"/>
    <n v="5"/>
  </r>
  <r>
    <s v="549-23-9016"/>
    <s v="C"/>
    <x v="1"/>
    <x v="0"/>
    <s v="Female"/>
    <x v="4"/>
    <n v="14.87"/>
    <n v="2"/>
    <n v="1.4870000000000001"/>
    <n v="31.227"/>
    <x v="77"/>
    <d v="1899-12-30T18:15:00"/>
    <x v="2"/>
    <x v="836"/>
    <n v="4.7619047620000003"/>
    <n v="1.4870000000000001"/>
    <n v="8.9"/>
  </r>
  <r>
    <s v="896-34-0956"/>
    <s v="A"/>
    <x v="0"/>
    <x v="1"/>
    <s v="Male"/>
    <x v="5"/>
    <n v="21.32"/>
    <n v="1"/>
    <n v="1.0660000000000001"/>
    <n v="22.385999999999999"/>
    <x v="53"/>
    <d v="1899-12-30T12:43:00"/>
    <x v="1"/>
    <x v="837"/>
    <n v="4.7619047620000003"/>
    <n v="1.0660000000000001"/>
    <n v="5.9"/>
  </r>
  <r>
    <s v="804-38-3935"/>
    <s v="A"/>
    <x v="0"/>
    <x v="0"/>
    <s v="Male"/>
    <x v="1"/>
    <n v="93.78"/>
    <n v="3"/>
    <n v="14.067"/>
    <n v="295.40699999999998"/>
    <x v="74"/>
    <d v="1899-12-30T11:32:00"/>
    <x v="2"/>
    <x v="838"/>
    <n v="4.7619047620000003"/>
    <n v="14.067"/>
    <n v="5.9"/>
  </r>
  <r>
    <s v="585-90-0249"/>
    <s v="A"/>
    <x v="0"/>
    <x v="0"/>
    <s v="Male"/>
    <x v="1"/>
    <n v="73.260000000000005"/>
    <n v="1"/>
    <n v="3.6629999999999998"/>
    <n v="76.923000000000002"/>
    <x v="3"/>
    <d v="1899-12-30T18:08:00"/>
    <x v="0"/>
    <x v="839"/>
    <n v="4.7619047620000003"/>
    <n v="3.6629999999999998"/>
    <n v="9.6999999999999993"/>
  </r>
  <r>
    <s v="862-29-5914"/>
    <s v="C"/>
    <x v="1"/>
    <x v="1"/>
    <s v="Female"/>
    <x v="3"/>
    <n v="22.38"/>
    <n v="1"/>
    <n v="1.119"/>
    <n v="23.498999999999999"/>
    <x v="74"/>
    <d v="1899-12-30T17:08:00"/>
    <x v="2"/>
    <x v="840"/>
    <n v="4.7619047620000003"/>
    <n v="1.119"/>
    <n v="8.6"/>
  </r>
  <r>
    <s v="845-94-6841"/>
    <s v="C"/>
    <x v="1"/>
    <x v="0"/>
    <s v="Female"/>
    <x v="4"/>
    <n v="72.88"/>
    <n v="9"/>
    <n v="32.795999999999999"/>
    <n v="688.71600000000001"/>
    <x v="66"/>
    <d v="1899-12-30T19:38:00"/>
    <x v="1"/>
    <x v="841"/>
    <n v="4.7619047620000003"/>
    <n v="32.795999999999999"/>
    <n v="4"/>
  </r>
  <r>
    <s v="125-45-2293"/>
    <s v="A"/>
    <x v="0"/>
    <x v="1"/>
    <s v="Female"/>
    <x v="5"/>
    <n v="99.1"/>
    <n v="6"/>
    <n v="29.73"/>
    <n v="624.33000000000004"/>
    <x v="64"/>
    <d v="1899-12-30T13:11:00"/>
    <x v="1"/>
    <x v="842"/>
    <n v="4.7619047620000003"/>
    <n v="29.73"/>
    <n v="4.2"/>
  </r>
  <r>
    <s v="843-73-4724"/>
    <s v="A"/>
    <x v="0"/>
    <x v="1"/>
    <s v="Male"/>
    <x v="5"/>
    <n v="74.099999999999994"/>
    <n v="1"/>
    <n v="3.7050000000000001"/>
    <n v="77.805000000000007"/>
    <x v="25"/>
    <d v="1899-12-30T11:05:00"/>
    <x v="1"/>
    <x v="843"/>
    <n v="4.7619047620000003"/>
    <n v="3.7050000000000001"/>
    <n v="9.1999999999999993"/>
  </r>
  <r>
    <s v="409-33-9708"/>
    <s v="A"/>
    <x v="0"/>
    <x v="1"/>
    <s v="Female"/>
    <x v="5"/>
    <n v="98.48"/>
    <n v="2"/>
    <n v="9.8480000000000008"/>
    <n v="206.80799999999999"/>
    <x v="88"/>
    <d v="1899-12-30T10:12:00"/>
    <x v="0"/>
    <x v="844"/>
    <n v="4.7619047620000003"/>
    <n v="9.8480000000000008"/>
    <n v="9.1999999999999993"/>
  </r>
  <r>
    <s v="658-66-3967"/>
    <s v="C"/>
    <x v="1"/>
    <x v="1"/>
    <s v="Male"/>
    <x v="0"/>
    <n v="53.19"/>
    <n v="7"/>
    <n v="18.616499999999998"/>
    <n v="390.94650000000001"/>
    <x v="78"/>
    <d v="1899-12-30T15:42:00"/>
    <x v="0"/>
    <x v="845"/>
    <n v="4.7619047620000003"/>
    <n v="18.616499999999998"/>
    <n v="5"/>
  </r>
  <r>
    <s v="866-70-2814"/>
    <s v="B"/>
    <x v="2"/>
    <x v="1"/>
    <s v="Female"/>
    <x v="1"/>
    <n v="52.79"/>
    <n v="10"/>
    <n v="26.395"/>
    <n v="554.29499999999996"/>
    <x v="6"/>
    <d v="1899-12-30T11:58:00"/>
    <x v="0"/>
    <x v="846"/>
    <n v="4.7619047620000003"/>
    <n v="26.395"/>
    <n v="10"/>
  </r>
  <r>
    <s v="160-22-2687"/>
    <s v="A"/>
    <x v="0"/>
    <x v="0"/>
    <s v="Female"/>
    <x v="0"/>
    <n v="95.95"/>
    <n v="5"/>
    <n v="23.987500000000001"/>
    <n v="503.73750000000001"/>
    <x v="54"/>
    <d v="1899-12-30T14:21:00"/>
    <x v="0"/>
    <x v="847"/>
    <n v="4.7619047620000003"/>
    <n v="23.987500000000001"/>
    <n v="8.8000000000000007"/>
  </r>
  <r>
    <s v="895-03-6665"/>
    <s v="B"/>
    <x v="2"/>
    <x v="1"/>
    <s v="Female"/>
    <x v="5"/>
    <n v="36.51"/>
    <n v="9"/>
    <n v="16.429500000000001"/>
    <n v="345.01949999999999"/>
    <x v="69"/>
    <d v="1899-12-30T10:52:00"/>
    <x v="1"/>
    <x v="848"/>
    <n v="4.7619047620000003"/>
    <n v="16.429500000000001"/>
    <n v="4.2"/>
  </r>
  <r>
    <s v="770-42-8960"/>
    <s v="B"/>
    <x v="2"/>
    <x v="1"/>
    <s v="Male"/>
    <x v="4"/>
    <n v="21.12"/>
    <n v="8"/>
    <n v="8.4480000000000004"/>
    <n v="177.40799999999999"/>
    <x v="17"/>
    <d v="1899-12-30T19:31:00"/>
    <x v="1"/>
    <x v="849"/>
    <n v="4.7619047620000003"/>
    <n v="8.4480000000000004"/>
    <n v="6.3"/>
  </r>
  <r>
    <s v="748-45-2862"/>
    <s v="A"/>
    <x v="0"/>
    <x v="0"/>
    <s v="Female"/>
    <x v="2"/>
    <n v="28.31"/>
    <n v="4"/>
    <n v="5.6619999999999999"/>
    <n v="118.902"/>
    <x v="37"/>
    <d v="1899-12-30T18:35:00"/>
    <x v="1"/>
    <x v="850"/>
    <n v="4.7619047620000003"/>
    <n v="5.6619999999999999"/>
    <n v="8.1999999999999993"/>
  </r>
  <r>
    <s v="234-36-2483"/>
    <s v="B"/>
    <x v="2"/>
    <x v="1"/>
    <s v="Male"/>
    <x v="0"/>
    <n v="57.59"/>
    <n v="6"/>
    <n v="17.277000000000001"/>
    <n v="362.81700000000001"/>
    <x v="42"/>
    <d v="1899-12-30T13:51:00"/>
    <x v="1"/>
    <x v="851"/>
    <n v="4.7619047620000003"/>
    <n v="17.277000000000001"/>
    <n v="5.0999999999999996"/>
  </r>
  <r>
    <s v="316-66-3011"/>
    <s v="A"/>
    <x v="0"/>
    <x v="0"/>
    <s v="Female"/>
    <x v="4"/>
    <n v="47.63"/>
    <n v="9"/>
    <n v="21.433499999999999"/>
    <n v="450.1035"/>
    <x v="54"/>
    <d v="1899-12-30T12:35:00"/>
    <x v="1"/>
    <x v="852"/>
    <n v="4.7619047620000003"/>
    <n v="21.433499999999999"/>
    <n v="5"/>
  </r>
  <r>
    <s v="848-95-6252"/>
    <s v="C"/>
    <x v="1"/>
    <x v="0"/>
    <s v="Female"/>
    <x v="2"/>
    <n v="86.27"/>
    <n v="1"/>
    <n v="4.3135000000000003"/>
    <n v="90.583500000000001"/>
    <x v="9"/>
    <d v="1899-12-30T13:24:00"/>
    <x v="0"/>
    <x v="853"/>
    <n v="4.7619047620000003"/>
    <n v="4.3135000000000003"/>
    <n v="7"/>
  </r>
  <r>
    <s v="840-76-5966"/>
    <s v="A"/>
    <x v="0"/>
    <x v="0"/>
    <s v="Male"/>
    <x v="3"/>
    <n v="12.76"/>
    <n v="2"/>
    <n v="1.276"/>
    <n v="26.795999999999999"/>
    <x v="66"/>
    <d v="1899-12-30T18:06:00"/>
    <x v="0"/>
    <x v="854"/>
    <n v="4.7619047620000003"/>
    <n v="1.276"/>
    <n v="7.8"/>
  </r>
  <r>
    <s v="152-03-4217"/>
    <s v="B"/>
    <x v="2"/>
    <x v="1"/>
    <s v="Female"/>
    <x v="2"/>
    <n v="11.28"/>
    <n v="9"/>
    <n v="5.0759999999999996"/>
    <n v="106.596"/>
    <x v="85"/>
    <d v="1899-12-30T11:55:00"/>
    <x v="2"/>
    <x v="855"/>
    <n v="4.7619047620000003"/>
    <n v="5.0759999999999996"/>
    <n v="4.3"/>
  </r>
  <r>
    <s v="533-66-5566"/>
    <s v="B"/>
    <x v="2"/>
    <x v="1"/>
    <s v="Female"/>
    <x v="2"/>
    <n v="51.07"/>
    <n v="7"/>
    <n v="17.874500000000001"/>
    <n v="375.36450000000002"/>
    <x v="52"/>
    <d v="1899-12-30T11:42:00"/>
    <x v="1"/>
    <x v="856"/>
    <n v="4.7619047620000003"/>
    <n v="17.874500000000001"/>
    <n v="7"/>
  </r>
  <r>
    <s v="124-31-1458"/>
    <s v="A"/>
    <x v="0"/>
    <x v="0"/>
    <s v="Female"/>
    <x v="1"/>
    <n v="79.59"/>
    <n v="3"/>
    <n v="11.938499999999999"/>
    <n v="250.70849999999999"/>
    <x v="66"/>
    <d v="1899-12-30T14:30:00"/>
    <x v="1"/>
    <x v="857"/>
    <n v="4.7619047620000003"/>
    <n v="11.938499999999999"/>
    <n v="6.6"/>
  </r>
  <r>
    <s v="176-78-1170"/>
    <s v="C"/>
    <x v="1"/>
    <x v="0"/>
    <s v="Male"/>
    <x v="0"/>
    <n v="33.81"/>
    <n v="3"/>
    <n v="5.0715000000000003"/>
    <n v="106.50149999999999"/>
    <x v="53"/>
    <d v="1899-12-30T15:11:00"/>
    <x v="0"/>
    <x v="858"/>
    <n v="4.7619047620000003"/>
    <n v="5.0715000000000003"/>
    <n v="7.3"/>
  </r>
  <r>
    <s v="361-59-0574"/>
    <s v="B"/>
    <x v="2"/>
    <x v="0"/>
    <s v="Male"/>
    <x v="3"/>
    <n v="90.53"/>
    <n v="8"/>
    <n v="36.212000000000003"/>
    <n v="760.452"/>
    <x v="20"/>
    <d v="1899-12-30T14:48:00"/>
    <x v="2"/>
    <x v="859"/>
    <n v="4.7619047620000003"/>
    <n v="36.212000000000003"/>
    <n v="6.5"/>
  </r>
  <r>
    <s v="101-81-4070"/>
    <s v="C"/>
    <x v="1"/>
    <x v="0"/>
    <s v="Female"/>
    <x v="0"/>
    <n v="62.82"/>
    <n v="2"/>
    <n v="6.282"/>
    <n v="131.922"/>
    <x v="29"/>
    <d v="1899-12-30T12:36:00"/>
    <x v="0"/>
    <x v="860"/>
    <n v="4.7619047620000003"/>
    <n v="6.282"/>
    <n v="4.9000000000000004"/>
  </r>
  <r>
    <s v="631-34-1880"/>
    <s v="C"/>
    <x v="1"/>
    <x v="0"/>
    <s v="Male"/>
    <x v="4"/>
    <n v="24.31"/>
    <n v="3"/>
    <n v="3.6465000000000001"/>
    <n v="76.576499999999996"/>
    <x v="66"/>
    <d v="1899-12-30T19:09:00"/>
    <x v="2"/>
    <x v="861"/>
    <n v="4.7619047620000003"/>
    <n v="3.6465000000000001"/>
    <n v="4.3"/>
  </r>
  <r>
    <s v="852-82-2749"/>
    <s v="A"/>
    <x v="0"/>
    <x v="1"/>
    <s v="Male"/>
    <x v="3"/>
    <n v="64.59"/>
    <n v="4"/>
    <n v="12.917999999999999"/>
    <n v="271.27800000000002"/>
    <x v="47"/>
    <d v="1899-12-30T13:35:00"/>
    <x v="0"/>
    <x v="862"/>
    <n v="4.7619047620000003"/>
    <n v="12.917999999999999"/>
    <n v="9.3000000000000007"/>
  </r>
  <r>
    <s v="873-14-6353"/>
    <s v="A"/>
    <x v="0"/>
    <x v="0"/>
    <s v="Male"/>
    <x v="4"/>
    <n v="24.82"/>
    <n v="7"/>
    <n v="8.6869999999999994"/>
    <n v="182.42699999999999"/>
    <x v="69"/>
    <d v="1899-12-30T10:33:00"/>
    <x v="2"/>
    <x v="863"/>
    <n v="4.7619047620000003"/>
    <n v="8.6869999999999994"/>
    <n v="7.1"/>
  </r>
  <r>
    <s v="584-66-4073"/>
    <s v="C"/>
    <x v="1"/>
    <x v="1"/>
    <s v="Male"/>
    <x v="5"/>
    <n v="56.5"/>
    <n v="1"/>
    <n v="2.8250000000000002"/>
    <n v="59.325000000000003"/>
    <x v="45"/>
    <d v="1899-12-30T15:45:00"/>
    <x v="0"/>
    <x v="864"/>
    <n v="4.7619047620000003"/>
    <n v="2.8250000000000002"/>
    <n v="9.6"/>
  </r>
  <r>
    <s v="544-55-9589"/>
    <s v="B"/>
    <x v="2"/>
    <x v="0"/>
    <s v="Female"/>
    <x v="1"/>
    <n v="21.43"/>
    <n v="10"/>
    <n v="10.715"/>
    <n v="225.01499999999999"/>
    <x v="26"/>
    <d v="1899-12-30T11:51:00"/>
    <x v="1"/>
    <x v="865"/>
    <n v="4.7619047620000003"/>
    <n v="10.715"/>
    <n v="6.2"/>
  </r>
  <r>
    <s v="166-19-2553"/>
    <s v="A"/>
    <x v="0"/>
    <x v="0"/>
    <s v="Male"/>
    <x v="3"/>
    <n v="89.06"/>
    <n v="6"/>
    <n v="26.718"/>
    <n v="561.07799999999997"/>
    <x v="68"/>
    <d v="1899-12-30T17:26:00"/>
    <x v="1"/>
    <x v="866"/>
    <n v="4.7619047620000003"/>
    <n v="26.718"/>
    <n v="9.9"/>
  </r>
  <r>
    <s v="737-88-5876"/>
    <s v="A"/>
    <x v="0"/>
    <x v="0"/>
    <s v="Male"/>
    <x v="2"/>
    <n v="23.29"/>
    <n v="4"/>
    <n v="4.6580000000000004"/>
    <n v="97.817999999999998"/>
    <x v="35"/>
    <d v="1899-12-30T11:52:00"/>
    <x v="2"/>
    <x v="867"/>
    <n v="4.7619047620000003"/>
    <n v="4.6580000000000004"/>
    <n v="5.9"/>
  </r>
  <r>
    <s v="154-87-7367"/>
    <s v="C"/>
    <x v="1"/>
    <x v="1"/>
    <s v="Male"/>
    <x v="2"/>
    <n v="65.260000000000005"/>
    <n v="8"/>
    <n v="26.103999999999999"/>
    <n v="548.18399999999997"/>
    <x v="20"/>
    <d v="1899-12-30T14:04:00"/>
    <x v="0"/>
    <x v="868"/>
    <n v="4.7619047620000003"/>
    <n v="26.103999999999999"/>
    <n v="6.3"/>
  </r>
  <r>
    <s v="885-56-0389"/>
    <s v="C"/>
    <x v="1"/>
    <x v="0"/>
    <s v="Male"/>
    <x v="5"/>
    <n v="52.35"/>
    <n v="1"/>
    <n v="2.6175000000000002"/>
    <n v="54.967500000000001"/>
    <x v="12"/>
    <d v="1899-12-30T17:49:00"/>
    <x v="1"/>
    <x v="869"/>
    <n v="4.7619047620000003"/>
    <n v="2.6175000000000002"/>
    <n v="4"/>
  </r>
  <r>
    <s v="608-05-3804"/>
    <s v="B"/>
    <x v="2"/>
    <x v="0"/>
    <s v="Male"/>
    <x v="1"/>
    <n v="39.75"/>
    <n v="1"/>
    <n v="1.9875"/>
    <n v="41.737499999999997"/>
    <x v="6"/>
    <d v="1899-12-30T20:19:00"/>
    <x v="1"/>
    <x v="870"/>
    <n v="4.7619047620000003"/>
    <n v="1.9875"/>
    <n v="6.1"/>
  </r>
  <r>
    <s v="448-61-3783"/>
    <s v="A"/>
    <x v="0"/>
    <x v="1"/>
    <s v="Female"/>
    <x v="1"/>
    <n v="90.02"/>
    <n v="8"/>
    <n v="36.008000000000003"/>
    <n v="756.16800000000001"/>
    <x v="76"/>
    <d v="1899-12-30T16:08:00"/>
    <x v="2"/>
    <x v="871"/>
    <n v="4.7619047620000003"/>
    <n v="36.008000000000003"/>
    <n v="4.5"/>
  </r>
  <r>
    <s v="761-49-0439"/>
    <s v="B"/>
    <x v="2"/>
    <x v="0"/>
    <s v="Female"/>
    <x v="1"/>
    <n v="12.1"/>
    <n v="8"/>
    <n v="4.84"/>
    <n v="101.64"/>
    <x v="64"/>
    <d v="1899-12-30T10:17:00"/>
    <x v="0"/>
    <x v="872"/>
    <n v="4.7619047620000003"/>
    <n v="4.84"/>
    <n v="8.6"/>
  </r>
  <r>
    <s v="490-95-0021"/>
    <s v="B"/>
    <x v="2"/>
    <x v="0"/>
    <s v="Female"/>
    <x v="4"/>
    <n v="33.21"/>
    <n v="10"/>
    <n v="16.605"/>
    <n v="348.70499999999998"/>
    <x v="66"/>
    <d v="1899-12-30T14:25:00"/>
    <x v="0"/>
    <x v="873"/>
    <n v="4.7619047620000003"/>
    <n v="16.605"/>
    <n v="6"/>
  </r>
  <r>
    <s v="115-38-7388"/>
    <s v="C"/>
    <x v="1"/>
    <x v="0"/>
    <s v="Female"/>
    <x v="5"/>
    <n v="10.18"/>
    <n v="8"/>
    <n v="4.0720000000000001"/>
    <n v="85.512"/>
    <x v="73"/>
    <d v="1899-12-30T12:51:00"/>
    <x v="2"/>
    <x v="874"/>
    <n v="4.7619047620000003"/>
    <n v="4.0720000000000001"/>
    <n v="9.5"/>
  </r>
  <r>
    <s v="311-13-6971"/>
    <s v="B"/>
    <x v="2"/>
    <x v="0"/>
    <s v="Male"/>
    <x v="3"/>
    <n v="31.99"/>
    <n v="10"/>
    <n v="15.994999999999999"/>
    <n v="335.89499999999998"/>
    <x v="9"/>
    <d v="1899-12-30T15:18:00"/>
    <x v="2"/>
    <x v="875"/>
    <n v="4.7619047620000003"/>
    <n v="15.994999999999999"/>
    <n v="9.9"/>
  </r>
  <r>
    <s v="291-55-6563"/>
    <s v="A"/>
    <x v="0"/>
    <x v="0"/>
    <s v="Female"/>
    <x v="2"/>
    <n v="34.42"/>
    <n v="6"/>
    <n v="10.326000000000001"/>
    <n v="216.846"/>
    <x v="73"/>
    <d v="1899-12-30T12:45:00"/>
    <x v="0"/>
    <x v="136"/>
    <n v="4.7619047620000003"/>
    <n v="10.326000000000001"/>
    <n v="7.5"/>
  </r>
  <r>
    <s v="548-48-3156"/>
    <s v="A"/>
    <x v="0"/>
    <x v="0"/>
    <s v="Female"/>
    <x v="4"/>
    <n v="83.34"/>
    <n v="2"/>
    <n v="8.3339999999999996"/>
    <n v="175.01400000000001"/>
    <x v="35"/>
    <d v="1899-12-30T13:37:00"/>
    <x v="1"/>
    <x v="876"/>
    <n v="4.7619047620000003"/>
    <n v="8.3339999999999996"/>
    <n v="7.6"/>
  </r>
  <r>
    <s v="460-93-5834"/>
    <s v="A"/>
    <x v="0"/>
    <x v="1"/>
    <s v="Male"/>
    <x v="3"/>
    <n v="45.58"/>
    <n v="7"/>
    <n v="15.952999999999999"/>
    <n v="335.01299999999998"/>
    <x v="50"/>
    <d v="1899-12-30T10:03:00"/>
    <x v="1"/>
    <x v="877"/>
    <n v="4.7619047620000003"/>
    <n v="15.952999999999999"/>
    <n v="5"/>
  </r>
  <r>
    <s v="325-89-4209"/>
    <s v="A"/>
    <x v="0"/>
    <x v="0"/>
    <s v="Male"/>
    <x v="4"/>
    <n v="87.9"/>
    <n v="1"/>
    <n v="4.3949999999999996"/>
    <n v="92.295000000000002"/>
    <x v="63"/>
    <d v="1899-12-30T19:42:00"/>
    <x v="0"/>
    <x v="878"/>
    <n v="4.7619047620000003"/>
    <n v="4.3949999999999996"/>
    <n v="6.7"/>
  </r>
  <r>
    <s v="884-80-6021"/>
    <s v="A"/>
    <x v="0"/>
    <x v="0"/>
    <s v="Female"/>
    <x v="1"/>
    <n v="73.47"/>
    <n v="10"/>
    <n v="36.734999999999999"/>
    <n v="771.43499999999995"/>
    <x v="28"/>
    <d v="1899-12-30T13:14:00"/>
    <x v="0"/>
    <x v="879"/>
    <n v="4.7619047620000003"/>
    <n v="36.734999999999999"/>
    <n v="9.5"/>
  </r>
  <r>
    <s v="137-74-8729"/>
    <s v="C"/>
    <x v="1"/>
    <x v="1"/>
    <s v="Female"/>
    <x v="5"/>
    <n v="12.19"/>
    <n v="8"/>
    <n v="4.8760000000000003"/>
    <n v="102.396"/>
    <x v="45"/>
    <d v="1899-12-30T12:47:00"/>
    <x v="0"/>
    <x v="880"/>
    <n v="4.7619047620000003"/>
    <n v="4.8760000000000003"/>
    <n v="6.8"/>
  </r>
  <r>
    <s v="880-46-5796"/>
    <s v="A"/>
    <x v="0"/>
    <x v="0"/>
    <s v="Male"/>
    <x v="3"/>
    <n v="76.92"/>
    <n v="10"/>
    <n v="38.46"/>
    <n v="807.66"/>
    <x v="85"/>
    <d v="1899-12-30T19:53:00"/>
    <x v="0"/>
    <x v="881"/>
    <n v="4.7619047620000003"/>
    <n v="38.46"/>
    <n v="5.6"/>
  </r>
  <r>
    <s v="389-70-2397"/>
    <s v="C"/>
    <x v="1"/>
    <x v="1"/>
    <s v="Female"/>
    <x v="0"/>
    <n v="83.66"/>
    <n v="5"/>
    <n v="20.914999999999999"/>
    <n v="439.21499999999997"/>
    <x v="81"/>
    <d v="1899-12-30T10:26:00"/>
    <x v="1"/>
    <x v="882"/>
    <n v="4.7619047620000003"/>
    <n v="20.914999999999999"/>
    <n v="7.2"/>
  </r>
  <r>
    <s v="114-35-5271"/>
    <s v="B"/>
    <x v="2"/>
    <x v="1"/>
    <s v="Female"/>
    <x v="1"/>
    <n v="57.91"/>
    <n v="8"/>
    <n v="23.164000000000001"/>
    <n v="486.44400000000002"/>
    <x v="13"/>
    <d v="1899-12-30T15:06:00"/>
    <x v="1"/>
    <x v="883"/>
    <n v="4.7619047620000003"/>
    <n v="23.164000000000001"/>
    <n v="8.1"/>
  </r>
  <r>
    <s v="607-76-6216"/>
    <s v="C"/>
    <x v="1"/>
    <x v="0"/>
    <s v="Female"/>
    <x v="5"/>
    <n v="92.49"/>
    <n v="5"/>
    <n v="23.122499999999999"/>
    <n v="485.57249999999999"/>
    <x v="22"/>
    <d v="1899-12-30T16:35:00"/>
    <x v="2"/>
    <x v="884"/>
    <n v="4.7619047620000003"/>
    <n v="23.122499999999999"/>
    <n v="8.6"/>
  </r>
  <r>
    <s v="715-20-1673"/>
    <s v="B"/>
    <x v="2"/>
    <x v="1"/>
    <s v="Male"/>
    <x v="1"/>
    <n v="28.38"/>
    <n v="5"/>
    <n v="7.0949999999999998"/>
    <n v="148.995"/>
    <x v="43"/>
    <d v="1899-12-30T20:57:00"/>
    <x v="1"/>
    <x v="885"/>
    <n v="4.7619047620000003"/>
    <n v="7.0949999999999998"/>
    <n v="9.4"/>
  </r>
  <r>
    <s v="811-35-1094"/>
    <s v="B"/>
    <x v="2"/>
    <x v="0"/>
    <s v="Male"/>
    <x v="1"/>
    <n v="50.45"/>
    <n v="6"/>
    <n v="15.135"/>
    <n v="317.83499999999998"/>
    <x v="10"/>
    <d v="1899-12-30T15:16:00"/>
    <x v="2"/>
    <x v="886"/>
    <n v="4.7619047620000003"/>
    <n v="15.135"/>
    <n v="8.9"/>
  </r>
  <r>
    <s v="699-88-1972"/>
    <s v="B"/>
    <x v="2"/>
    <x v="1"/>
    <s v="Male"/>
    <x v="0"/>
    <n v="99.16"/>
    <n v="8"/>
    <n v="39.664000000000001"/>
    <n v="832.94399999999996"/>
    <x v="26"/>
    <d v="1899-12-30T17:47:00"/>
    <x v="2"/>
    <x v="887"/>
    <n v="4.7619047620000003"/>
    <n v="39.664000000000001"/>
    <n v="4.2"/>
  </r>
  <r>
    <s v="781-84-8059"/>
    <s v="C"/>
    <x v="1"/>
    <x v="1"/>
    <s v="Male"/>
    <x v="5"/>
    <n v="60.74"/>
    <n v="7"/>
    <n v="21.259"/>
    <n v="446.43900000000002"/>
    <x v="68"/>
    <d v="1899-12-30T16:23:00"/>
    <x v="0"/>
    <x v="888"/>
    <n v="4.7619047620000003"/>
    <n v="21.259"/>
    <n v="5"/>
  </r>
  <r>
    <s v="409-49-6995"/>
    <s v="C"/>
    <x v="1"/>
    <x v="0"/>
    <s v="Female"/>
    <x v="4"/>
    <n v="47.27"/>
    <n v="6"/>
    <n v="14.180999999999999"/>
    <n v="297.80099999999999"/>
    <x v="63"/>
    <d v="1899-12-30T10:17:00"/>
    <x v="1"/>
    <x v="889"/>
    <n v="4.7619047620000003"/>
    <n v="14.180999999999999"/>
    <n v="8.8000000000000007"/>
  </r>
  <r>
    <s v="725-54-0677"/>
    <s v="C"/>
    <x v="1"/>
    <x v="0"/>
    <s v="Male"/>
    <x v="0"/>
    <n v="85.6"/>
    <n v="7"/>
    <n v="29.96"/>
    <n v="629.16"/>
    <x v="22"/>
    <d v="1899-12-30T13:50:00"/>
    <x v="1"/>
    <x v="890"/>
    <n v="4.7619047620000003"/>
    <n v="29.96"/>
    <n v="5.3"/>
  </r>
  <r>
    <s v="146-09-5432"/>
    <s v="A"/>
    <x v="0"/>
    <x v="0"/>
    <s v="Male"/>
    <x v="4"/>
    <n v="35.04"/>
    <n v="9"/>
    <n v="15.768000000000001"/>
    <n v="331.12799999999999"/>
    <x v="57"/>
    <d v="1899-12-30T19:17:00"/>
    <x v="0"/>
    <x v="891"/>
    <n v="4.7619047620000003"/>
    <n v="15.768000000000001"/>
    <n v="4.5999999999999996"/>
  </r>
  <r>
    <s v="377-79-7592"/>
    <s v="C"/>
    <x v="1"/>
    <x v="0"/>
    <s v="Female"/>
    <x v="1"/>
    <n v="44.84"/>
    <n v="9"/>
    <n v="20.178000000000001"/>
    <n v="423.738"/>
    <x v="78"/>
    <d v="1899-12-30T14:00:00"/>
    <x v="2"/>
    <x v="892"/>
    <n v="4.7619047620000003"/>
    <n v="20.178000000000001"/>
    <n v="7.5"/>
  </r>
  <r>
    <s v="509-10-0516"/>
    <s v="B"/>
    <x v="2"/>
    <x v="1"/>
    <s v="Male"/>
    <x v="2"/>
    <n v="45.97"/>
    <n v="4"/>
    <n v="9.1940000000000008"/>
    <n v="193.07400000000001"/>
    <x v="57"/>
    <d v="1899-12-30T12:02:00"/>
    <x v="0"/>
    <x v="893"/>
    <n v="4.7619047620000003"/>
    <n v="9.1940000000000008"/>
    <n v="5.0999999999999996"/>
  </r>
  <r>
    <s v="595-94-9924"/>
    <s v="A"/>
    <x v="0"/>
    <x v="0"/>
    <s v="Female"/>
    <x v="0"/>
    <n v="27.73"/>
    <n v="5"/>
    <n v="6.9325000000000001"/>
    <n v="145.58250000000001"/>
    <x v="58"/>
    <d v="1899-12-30T20:21:00"/>
    <x v="2"/>
    <x v="894"/>
    <n v="4.7619047620000003"/>
    <n v="6.9325000000000001"/>
    <n v="4.2"/>
  </r>
  <r>
    <s v="865-41-9075"/>
    <s v="A"/>
    <x v="0"/>
    <x v="1"/>
    <s v="Male"/>
    <x v="4"/>
    <n v="11.53"/>
    <n v="7"/>
    <n v="4.0354999999999999"/>
    <n v="84.745500000000007"/>
    <x v="26"/>
    <d v="1899-12-30T17:35:00"/>
    <x v="1"/>
    <x v="895"/>
    <n v="4.7619047620000003"/>
    <n v="4.0354999999999999"/>
    <n v="8.1"/>
  </r>
  <r>
    <s v="545-07-8534"/>
    <s v="C"/>
    <x v="1"/>
    <x v="1"/>
    <s v="Female"/>
    <x v="0"/>
    <n v="58.32"/>
    <n v="2"/>
    <n v="5.8319999999999999"/>
    <n v="122.47199999999999"/>
    <x v="44"/>
    <d v="1899-12-30T12:42:00"/>
    <x v="0"/>
    <x v="896"/>
    <n v="4.7619047620000003"/>
    <n v="5.8319999999999999"/>
    <n v="6"/>
  </r>
  <r>
    <s v="118-62-1812"/>
    <s v="C"/>
    <x v="1"/>
    <x v="0"/>
    <s v="Female"/>
    <x v="2"/>
    <n v="78.38"/>
    <n v="4"/>
    <n v="15.676"/>
    <n v="329.19600000000003"/>
    <x v="62"/>
    <d v="1899-12-30T17:56:00"/>
    <x v="1"/>
    <x v="897"/>
    <n v="4.7619047620000003"/>
    <n v="15.676"/>
    <n v="7.9"/>
  </r>
  <r>
    <s v="450-42-3339"/>
    <s v="C"/>
    <x v="1"/>
    <x v="1"/>
    <s v="Male"/>
    <x v="0"/>
    <n v="84.61"/>
    <n v="10"/>
    <n v="42.305"/>
    <n v="888.40499999999997"/>
    <x v="57"/>
    <d v="1899-12-30T18:58:00"/>
    <x v="2"/>
    <x v="898"/>
    <n v="4.7619047620000003"/>
    <n v="42.305"/>
    <n v="8.8000000000000007"/>
  </r>
  <r>
    <s v="851-98-3555"/>
    <s v="B"/>
    <x v="2"/>
    <x v="1"/>
    <s v="Female"/>
    <x v="0"/>
    <n v="82.88"/>
    <n v="5"/>
    <n v="20.72"/>
    <n v="435.12"/>
    <x v="62"/>
    <d v="1899-12-30T14:08:00"/>
    <x v="2"/>
    <x v="899"/>
    <n v="4.7619047620000003"/>
    <n v="20.72"/>
    <n v="6.6"/>
  </r>
  <r>
    <s v="186-71-5196"/>
    <s v="A"/>
    <x v="0"/>
    <x v="0"/>
    <s v="Female"/>
    <x v="4"/>
    <n v="79.540000000000006"/>
    <n v="2"/>
    <n v="7.9539999999999997"/>
    <n v="167.03399999999999"/>
    <x v="39"/>
    <d v="1899-12-30T16:30:00"/>
    <x v="0"/>
    <x v="900"/>
    <n v="4.7619047620000003"/>
    <n v="7.9539999999999997"/>
    <n v="6.2"/>
  </r>
  <r>
    <s v="624-01-8356"/>
    <s v="B"/>
    <x v="2"/>
    <x v="1"/>
    <s v="Female"/>
    <x v="2"/>
    <n v="49.01"/>
    <n v="10"/>
    <n v="24.504999999999999"/>
    <n v="514.60500000000002"/>
    <x v="3"/>
    <d v="1899-12-30T10:44:00"/>
    <x v="2"/>
    <x v="901"/>
    <n v="4.7619047620000003"/>
    <n v="24.504999999999999"/>
    <n v="4.2"/>
  </r>
  <r>
    <s v="313-66-9943"/>
    <s v="B"/>
    <x v="2"/>
    <x v="0"/>
    <s v="Female"/>
    <x v="4"/>
    <n v="29.15"/>
    <n v="3"/>
    <n v="4.3724999999999996"/>
    <n v="91.822500000000005"/>
    <x v="39"/>
    <d v="1899-12-30T20:29:00"/>
    <x v="2"/>
    <x v="902"/>
    <n v="4.7619047620000003"/>
    <n v="4.3724999999999996"/>
    <n v="7.3"/>
  </r>
  <r>
    <s v="151-27-8496"/>
    <s v="C"/>
    <x v="1"/>
    <x v="1"/>
    <s v="Female"/>
    <x v="1"/>
    <n v="56.13"/>
    <n v="4"/>
    <n v="11.226000000000001"/>
    <n v="235.74600000000001"/>
    <x v="64"/>
    <d v="1899-12-30T11:43:00"/>
    <x v="0"/>
    <x v="903"/>
    <n v="4.7619047620000003"/>
    <n v="11.226000000000001"/>
    <n v="8.6"/>
  </r>
  <r>
    <s v="453-33-6436"/>
    <s v="A"/>
    <x v="0"/>
    <x v="1"/>
    <s v="Female"/>
    <x v="2"/>
    <n v="93.12"/>
    <n v="8"/>
    <n v="37.247999999999998"/>
    <n v="782.20799999999997"/>
    <x v="13"/>
    <d v="1899-12-30T10:09:00"/>
    <x v="1"/>
    <x v="904"/>
    <n v="4.7619047620000003"/>
    <n v="37.247999999999998"/>
    <n v="6.8"/>
  </r>
  <r>
    <s v="522-57-8364"/>
    <s v="A"/>
    <x v="0"/>
    <x v="0"/>
    <s v="Male"/>
    <x v="5"/>
    <n v="51.34"/>
    <n v="8"/>
    <n v="20.536000000000001"/>
    <n v="431.25599999999997"/>
    <x v="82"/>
    <d v="1899-12-30T10:00:00"/>
    <x v="0"/>
    <x v="905"/>
    <n v="4.7619047620000003"/>
    <n v="20.536000000000001"/>
    <n v="7.6"/>
  </r>
  <r>
    <s v="459-45-2396"/>
    <s v="A"/>
    <x v="0"/>
    <x v="0"/>
    <s v="Female"/>
    <x v="4"/>
    <n v="99.6"/>
    <n v="3"/>
    <n v="14.94"/>
    <n v="313.74"/>
    <x v="6"/>
    <d v="1899-12-30T18:45:00"/>
    <x v="1"/>
    <x v="906"/>
    <n v="4.7619047620000003"/>
    <n v="14.94"/>
    <n v="5.8"/>
  </r>
  <r>
    <s v="717-96-4189"/>
    <s v="C"/>
    <x v="1"/>
    <x v="1"/>
    <s v="Female"/>
    <x v="1"/>
    <n v="35.49"/>
    <n v="6"/>
    <n v="10.647"/>
    <n v="223.58699999999999"/>
    <x v="30"/>
    <d v="1899-12-30T12:40:00"/>
    <x v="1"/>
    <x v="907"/>
    <n v="4.7619047620000003"/>
    <n v="10.647"/>
    <n v="4.0999999999999996"/>
  </r>
  <r>
    <s v="722-13-2115"/>
    <s v="C"/>
    <x v="1"/>
    <x v="0"/>
    <s v="Male"/>
    <x v="3"/>
    <n v="42.85"/>
    <n v="1"/>
    <n v="2.1425000000000001"/>
    <n v="44.9925"/>
    <x v="86"/>
    <d v="1899-12-30T15:36:00"/>
    <x v="2"/>
    <x v="908"/>
    <n v="4.7619047620000003"/>
    <n v="2.1425000000000001"/>
    <n v="9.3000000000000007"/>
  </r>
  <r>
    <s v="749-81-8133"/>
    <s v="A"/>
    <x v="0"/>
    <x v="1"/>
    <s v="Female"/>
    <x v="5"/>
    <n v="94.67"/>
    <n v="4"/>
    <n v="18.934000000000001"/>
    <n v="397.61399999999998"/>
    <x v="16"/>
    <d v="1899-12-30T12:04:00"/>
    <x v="1"/>
    <x v="909"/>
    <n v="4.7619047620000003"/>
    <n v="18.934000000000001"/>
    <n v="6.8"/>
  </r>
  <r>
    <s v="777-67-2495"/>
    <s v="B"/>
    <x v="2"/>
    <x v="1"/>
    <s v="Male"/>
    <x v="2"/>
    <n v="68.97"/>
    <n v="3"/>
    <n v="10.345499999999999"/>
    <n v="217.25550000000001"/>
    <x v="70"/>
    <d v="1899-12-30T11:26:00"/>
    <x v="0"/>
    <x v="910"/>
    <n v="4.7619047620000003"/>
    <n v="10.345499999999999"/>
    <n v="8.6999999999999993"/>
  </r>
  <r>
    <s v="636-98-3364"/>
    <s v="B"/>
    <x v="2"/>
    <x v="0"/>
    <s v="Female"/>
    <x v="1"/>
    <n v="26.26"/>
    <n v="3"/>
    <n v="3.9390000000000001"/>
    <n v="82.718999999999994"/>
    <x v="22"/>
    <d v="1899-12-30T12:36:00"/>
    <x v="0"/>
    <x v="911"/>
    <n v="4.7619047620000003"/>
    <n v="3.9390000000000001"/>
    <n v="6.3"/>
  </r>
  <r>
    <s v="246-55-6923"/>
    <s v="C"/>
    <x v="1"/>
    <x v="0"/>
    <s v="Female"/>
    <x v="2"/>
    <n v="35.79"/>
    <n v="9"/>
    <n v="16.105499999999999"/>
    <n v="338.21550000000002"/>
    <x v="24"/>
    <d v="1899-12-30T15:06:00"/>
    <x v="2"/>
    <x v="912"/>
    <n v="4.7619047620000003"/>
    <n v="16.105499999999999"/>
    <n v="5.0999999999999996"/>
  </r>
  <r>
    <s v="181-82-6255"/>
    <s v="B"/>
    <x v="2"/>
    <x v="1"/>
    <s v="Female"/>
    <x v="2"/>
    <n v="16.37"/>
    <n v="6"/>
    <n v="4.9109999999999996"/>
    <n v="103.131"/>
    <x v="4"/>
    <d v="1899-12-30T10:58:00"/>
    <x v="1"/>
    <x v="913"/>
    <n v="4.7619047620000003"/>
    <n v="4.9109999999999996"/>
    <n v="7"/>
  </r>
  <r>
    <s v="838-02-1821"/>
    <s v="C"/>
    <x v="1"/>
    <x v="0"/>
    <s v="Female"/>
    <x v="2"/>
    <n v="12.73"/>
    <n v="2"/>
    <n v="1.2729999999999999"/>
    <n v="26.733000000000001"/>
    <x v="70"/>
    <d v="1899-12-30T12:10:00"/>
    <x v="2"/>
    <x v="914"/>
    <n v="4.7619047620000003"/>
    <n v="1.2729999999999999"/>
    <n v="5.2"/>
  </r>
  <r>
    <s v="887-42-0517"/>
    <s v="C"/>
    <x v="1"/>
    <x v="1"/>
    <s v="Female"/>
    <x v="3"/>
    <n v="83.14"/>
    <n v="7"/>
    <n v="29.099"/>
    <n v="611.07899999999995"/>
    <x v="8"/>
    <d v="1899-12-30T10:31:00"/>
    <x v="2"/>
    <x v="915"/>
    <n v="4.7619047620000003"/>
    <n v="29.099"/>
    <n v="6.6"/>
  </r>
  <r>
    <s v="457-12-0244"/>
    <s v="C"/>
    <x v="1"/>
    <x v="0"/>
    <s v="Female"/>
    <x v="3"/>
    <n v="35.22"/>
    <n v="6"/>
    <n v="10.566000000000001"/>
    <n v="221.886"/>
    <x v="86"/>
    <d v="1899-12-30T13:49:00"/>
    <x v="0"/>
    <x v="916"/>
    <n v="4.7619047620000003"/>
    <n v="10.566000000000001"/>
    <n v="6.5"/>
  </r>
  <r>
    <s v="226-34-0034"/>
    <s v="B"/>
    <x v="2"/>
    <x v="1"/>
    <s v="Female"/>
    <x v="1"/>
    <n v="13.78"/>
    <n v="4"/>
    <n v="2.7559999999999998"/>
    <n v="57.875999999999998"/>
    <x v="8"/>
    <d v="1899-12-30T11:10:00"/>
    <x v="0"/>
    <x v="917"/>
    <n v="4.7619047620000003"/>
    <n v="2.7559999999999998"/>
    <n v="9"/>
  </r>
  <r>
    <s v="321-49-7382"/>
    <s v="B"/>
    <x v="2"/>
    <x v="0"/>
    <s v="Male"/>
    <x v="3"/>
    <n v="88.31"/>
    <n v="1"/>
    <n v="4.4154999999999998"/>
    <n v="92.725499999999997"/>
    <x v="42"/>
    <d v="1899-12-30T17:38:00"/>
    <x v="2"/>
    <x v="918"/>
    <n v="4.7619047620000003"/>
    <n v="4.4154999999999998"/>
    <n v="5.2"/>
  </r>
  <r>
    <s v="397-25-8725"/>
    <s v="A"/>
    <x v="0"/>
    <x v="0"/>
    <s v="Female"/>
    <x v="0"/>
    <n v="39.619999999999997"/>
    <n v="9"/>
    <n v="17.829000000000001"/>
    <n v="374.40899999999999"/>
    <x v="50"/>
    <d v="1899-12-30T17:54:00"/>
    <x v="2"/>
    <x v="919"/>
    <n v="4.7619047620000003"/>
    <n v="17.829000000000001"/>
    <n v="6.8"/>
  </r>
  <r>
    <s v="431-66-2305"/>
    <s v="B"/>
    <x v="2"/>
    <x v="1"/>
    <s v="Female"/>
    <x v="1"/>
    <n v="88.25"/>
    <n v="9"/>
    <n v="39.712499999999999"/>
    <n v="833.96249999999998"/>
    <x v="42"/>
    <d v="1899-12-30T20:51:00"/>
    <x v="2"/>
    <x v="920"/>
    <n v="4.7619047620000003"/>
    <n v="39.712499999999999"/>
    <n v="7.6"/>
  </r>
  <r>
    <s v="825-94-5922"/>
    <s v="B"/>
    <x v="2"/>
    <x v="1"/>
    <s v="Male"/>
    <x v="3"/>
    <n v="25.31"/>
    <n v="2"/>
    <n v="2.5310000000000001"/>
    <n v="53.151000000000003"/>
    <x v="22"/>
    <d v="1899-12-30T19:26:00"/>
    <x v="0"/>
    <x v="921"/>
    <n v="4.7619047620000003"/>
    <n v="2.5310000000000001"/>
    <n v="7.2"/>
  </r>
  <r>
    <s v="641-62-7288"/>
    <s v="B"/>
    <x v="2"/>
    <x v="1"/>
    <s v="Male"/>
    <x v="2"/>
    <n v="99.92"/>
    <n v="6"/>
    <n v="29.975999999999999"/>
    <n v="629.49599999999998"/>
    <x v="62"/>
    <d v="1899-12-30T13:33:00"/>
    <x v="0"/>
    <x v="922"/>
    <n v="4.7619047620000003"/>
    <n v="29.975999999999999"/>
    <n v="7.1"/>
  </r>
  <r>
    <s v="756-93-1854"/>
    <s v="C"/>
    <x v="1"/>
    <x v="0"/>
    <s v="Female"/>
    <x v="5"/>
    <n v="83.35"/>
    <n v="2"/>
    <n v="8.3350000000000009"/>
    <n v="175.035"/>
    <x v="30"/>
    <d v="1899-12-30T14:05:00"/>
    <x v="2"/>
    <x v="923"/>
    <n v="4.7619047620000003"/>
    <n v="8.3350000000000009"/>
    <n v="9.5"/>
  </r>
  <r>
    <s v="243-55-8457"/>
    <s v="A"/>
    <x v="0"/>
    <x v="1"/>
    <s v="Female"/>
    <x v="4"/>
    <n v="74.44"/>
    <n v="10"/>
    <n v="37.22"/>
    <n v="781.62"/>
    <x v="33"/>
    <d v="1899-12-30T11:40:00"/>
    <x v="0"/>
    <x v="924"/>
    <n v="4.7619047620000003"/>
    <n v="37.22"/>
    <n v="5.0999999999999996"/>
  </r>
  <r>
    <s v="458-10-8612"/>
    <s v="C"/>
    <x v="1"/>
    <x v="1"/>
    <s v="Male"/>
    <x v="0"/>
    <n v="64.08"/>
    <n v="7"/>
    <n v="22.428000000000001"/>
    <n v="470.988"/>
    <x v="40"/>
    <d v="1899-12-30T12:27:00"/>
    <x v="0"/>
    <x v="671"/>
    <n v="4.7619047620000003"/>
    <n v="22.428000000000001"/>
    <n v="7.6"/>
  </r>
  <r>
    <s v="501-61-1753"/>
    <s v="B"/>
    <x v="2"/>
    <x v="1"/>
    <s v="Female"/>
    <x v="2"/>
    <n v="63.15"/>
    <n v="6"/>
    <n v="18.945"/>
    <n v="397.84500000000003"/>
    <x v="75"/>
    <d v="1899-12-30T20:24:00"/>
    <x v="0"/>
    <x v="925"/>
    <n v="4.7619047620000003"/>
    <n v="18.945"/>
    <n v="9.8000000000000007"/>
  </r>
  <r>
    <s v="235-06-8510"/>
    <s v="C"/>
    <x v="1"/>
    <x v="0"/>
    <s v="Male"/>
    <x v="2"/>
    <n v="85.72"/>
    <n v="3"/>
    <n v="12.858000000000001"/>
    <n v="270.01799999999997"/>
    <x v="46"/>
    <d v="1899-12-30T20:59:00"/>
    <x v="0"/>
    <x v="926"/>
    <n v="4.7619047620000003"/>
    <n v="12.858000000000001"/>
    <n v="5.0999999999999996"/>
  </r>
  <r>
    <s v="433-08-7822"/>
    <s v="C"/>
    <x v="1"/>
    <x v="1"/>
    <s v="Female"/>
    <x v="0"/>
    <n v="78.89"/>
    <n v="7"/>
    <n v="27.611499999999999"/>
    <n v="579.8415"/>
    <x v="0"/>
    <d v="1899-12-30T19:48:00"/>
    <x v="0"/>
    <x v="927"/>
    <n v="4.7619047620000003"/>
    <n v="27.611499999999999"/>
    <n v="7.5"/>
  </r>
  <r>
    <s v="361-85-2571"/>
    <s v="A"/>
    <x v="0"/>
    <x v="1"/>
    <s v="Female"/>
    <x v="3"/>
    <n v="89.48"/>
    <n v="5"/>
    <n v="22.37"/>
    <n v="469.77"/>
    <x v="73"/>
    <d v="1899-12-30T10:18:00"/>
    <x v="1"/>
    <x v="928"/>
    <n v="4.7619047620000003"/>
    <n v="22.37"/>
    <n v="7.4"/>
  </r>
  <r>
    <s v="131-70-8179"/>
    <s v="A"/>
    <x v="0"/>
    <x v="0"/>
    <s v="Female"/>
    <x v="0"/>
    <n v="92.09"/>
    <n v="3"/>
    <n v="13.813499999999999"/>
    <n v="290.08350000000002"/>
    <x v="21"/>
    <d v="1899-12-30T16:27:00"/>
    <x v="1"/>
    <x v="929"/>
    <n v="4.7619047620000003"/>
    <n v="13.813499999999999"/>
    <n v="4.2"/>
  </r>
  <r>
    <s v="500-02-2261"/>
    <s v="C"/>
    <x v="1"/>
    <x v="1"/>
    <s v="Female"/>
    <x v="4"/>
    <n v="57.29"/>
    <n v="6"/>
    <n v="17.187000000000001"/>
    <n v="360.92700000000002"/>
    <x v="76"/>
    <d v="1899-12-30T17:04:00"/>
    <x v="0"/>
    <x v="930"/>
    <n v="4.7619047620000003"/>
    <n v="17.187000000000001"/>
    <n v="5.9"/>
  </r>
  <r>
    <s v="720-72-2436"/>
    <s v="A"/>
    <x v="0"/>
    <x v="1"/>
    <s v="Male"/>
    <x v="4"/>
    <n v="66.52"/>
    <n v="4"/>
    <n v="13.304"/>
    <n v="279.38400000000001"/>
    <x v="22"/>
    <d v="1899-12-30T18:14:00"/>
    <x v="0"/>
    <x v="931"/>
    <n v="4.7619047620000003"/>
    <n v="13.304"/>
    <n v="6.9"/>
  </r>
  <r>
    <s v="702-83-5291"/>
    <s v="C"/>
    <x v="1"/>
    <x v="0"/>
    <s v="Male"/>
    <x v="5"/>
    <n v="99.82"/>
    <n v="9"/>
    <n v="44.918999999999997"/>
    <n v="943.29899999999998"/>
    <x v="39"/>
    <d v="1899-12-30T10:43:00"/>
    <x v="1"/>
    <x v="932"/>
    <n v="4.7619047620000003"/>
    <n v="44.918999999999997"/>
    <n v="6.6"/>
  </r>
  <r>
    <s v="809-69-9497"/>
    <s v="A"/>
    <x v="0"/>
    <x v="1"/>
    <s v="Female"/>
    <x v="2"/>
    <n v="45.68"/>
    <n v="10"/>
    <n v="22.84"/>
    <n v="479.64"/>
    <x v="64"/>
    <d v="1899-12-30T19:30:00"/>
    <x v="0"/>
    <x v="933"/>
    <n v="4.7619047620000003"/>
    <n v="22.84"/>
    <n v="5.7"/>
  </r>
  <r>
    <s v="449-16-6770"/>
    <s v="A"/>
    <x v="0"/>
    <x v="1"/>
    <s v="Male"/>
    <x v="0"/>
    <n v="50.79"/>
    <n v="5"/>
    <n v="12.6975"/>
    <n v="266.64749999999998"/>
    <x v="88"/>
    <d v="1899-12-30T14:53:00"/>
    <x v="2"/>
    <x v="934"/>
    <n v="4.7619047620000003"/>
    <n v="12.6975"/>
    <n v="5.3"/>
  </r>
  <r>
    <s v="333-23-2632"/>
    <s v="A"/>
    <x v="0"/>
    <x v="0"/>
    <s v="Male"/>
    <x v="0"/>
    <n v="10.08"/>
    <n v="7"/>
    <n v="3.528"/>
    <n v="74.087999999999994"/>
    <x v="61"/>
    <d v="1899-12-30T20:14:00"/>
    <x v="1"/>
    <x v="935"/>
    <n v="4.7619047620000003"/>
    <n v="3.528"/>
    <n v="4.2"/>
  </r>
  <r>
    <s v="489-82-1237"/>
    <s v="A"/>
    <x v="0"/>
    <x v="1"/>
    <s v="Female"/>
    <x v="1"/>
    <n v="93.88"/>
    <n v="7"/>
    <n v="32.857999999999997"/>
    <n v="690.01800000000003"/>
    <x v="0"/>
    <d v="1899-12-30T11:51:00"/>
    <x v="2"/>
    <x v="936"/>
    <n v="4.7619047620000003"/>
    <n v="32.857999999999997"/>
    <n v="7.3"/>
  </r>
  <r>
    <s v="859-97-6048"/>
    <s v="C"/>
    <x v="1"/>
    <x v="0"/>
    <s v="Male"/>
    <x v="1"/>
    <n v="84.25"/>
    <n v="2"/>
    <n v="8.4250000000000007"/>
    <n v="176.92500000000001"/>
    <x v="58"/>
    <d v="1899-12-30T14:13:00"/>
    <x v="2"/>
    <x v="937"/>
    <n v="4.7619047620000003"/>
    <n v="8.4250000000000007"/>
    <n v="5.3"/>
  </r>
  <r>
    <s v="676-10-2200"/>
    <s v="B"/>
    <x v="2"/>
    <x v="0"/>
    <s v="Male"/>
    <x v="5"/>
    <n v="53.78"/>
    <n v="1"/>
    <n v="2.6890000000000001"/>
    <n v="56.469000000000001"/>
    <x v="36"/>
    <d v="1899-12-30T20:13:00"/>
    <x v="0"/>
    <x v="938"/>
    <n v="4.7619047620000003"/>
    <n v="2.6890000000000001"/>
    <n v="4.7"/>
  </r>
  <r>
    <s v="373-88-1424"/>
    <s v="C"/>
    <x v="1"/>
    <x v="0"/>
    <s v="Male"/>
    <x v="2"/>
    <n v="35.81"/>
    <n v="5"/>
    <n v="8.9525000000000006"/>
    <n v="188.0025"/>
    <x v="10"/>
    <d v="1899-12-30T18:44:00"/>
    <x v="0"/>
    <x v="939"/>
    <n v="4.7619047620000003"/>
    <n v="8.9525000000000006"/>
    <n v="7.9"/>
  </r>
  <r>
    <s v="365-16-4334"/>
    <s v="B"/>
    <x v="2"/>
    <x v="1"/>
    <s v="Female"/>
    <x v="4"/>
    <n v="26.43"/>
    <n v="8"/>
    <n v="10.571999999999999"/>
    <n v="222.012"/>
    <x v="7"/>
    <d v="1899-12-30T14:26:00"/>
    <x v="0"/>
    <x v="940"/>
    <n v="4.7619047620000003"/>
    <n v="10.571999999999999"/>
    <n v="8.9"/>
  </r>
  <r>
    <s v="503-21-4385"/>
    <s v="B"/>
    <x v="2"/>
    <x v="0"/>
    <s v="Male"/>
    <x v="0"/>
    <n v="39.909999999999997"/>
    <n v="3"/>
    <n v="5.9865000000000004"/>
    <n v="125.7165"/>
    <x v="81"/>
    <d v="1899-12-30T12:40:00"/>
    <x v="0"/>
    <x v="941"/>
    <n v="4.7619047620000003"/>
    <n v="5.9865000000000004"/>
    <n v="9.3000000000000007"/>
  </r>
  <r>
    <s v="305-89-2768"/>
    <s v="B"/>
    <x v="2"/>
    <x v="0"/>
    <s v="Female"/>
    <x v="2"/>
    <n v="21.9"/>
    <n v="3"/>
    <n v="3.2850000000000001"/>
    <n v="68.984999999999999"/>
    <x v="51"/>
    <d v="1899-12-30T18:43:00"/>
    <x v="0"/>
    <x v="942"/>
    <n v="4.7619047620000003"/>
    <n v="3.2850000000000001"/>
    <n v="4.7"/>
  </r>
  <r>
    <s v="574-80-1489"/>
    <s v="B"/>
    <x v="2"/>
    <x v="0"/>
    <s v="Female"/>
    <x v="4"/>
    <n v="62.85"/>
    <n v="4"/>
    <n v="12.57"/>
    <n v="263.97000000000003"/>
    <x v="6"/>
    <d v="1899-12-30T13:22:00"/>
    <x v="0"/>
    <x v="156"/>
    <n v="4.7619047620000003"/>
    <n v="12.57"/>
    <n v="8.6999999999999993"/>
  </r>
  <r>
    <s v="784-08-0310"/>
    <s v="C"/>
    <x v="1"/>
    <x v="0"/>
    <s v="Female"/>
    <x v="4"/>
    <n v="21.04"/>
    <n v="4"/>
    <n v="4.2080000000000002"/>
    <n v="88.367999999999995"/>
    <x v="50"/>
    <d v="1899-12-30T13:58:00"/>
    <x v="1"/>
    <x v="943"/>
    <n v="4.7619047620000003"/>
    <n v="4.2080000000000002"/>
    <n v="7.6"/>
  </r>
  <r>
    <s v="200-40-6154"/>
    <s v="B"/>
    <x v="2"/>
    <x v="0"/>
    <s v="Male"/>
    <x v="2"/>
    <n v="65.91"/>
    <n v="6"/>
    <n v="19.773"/>
    <n v="415.233"/>
    <x v="57"/>
    <d v="1899-12-30T11:45:00"/>
    <x v="1"/>
    <x v="944"/>
    <n v="4.7619047620000003"/>
    <n v="19.773"/>
    <n v="5.7"/>
  </r>
  <r>
    <s v="846-10-0341"/>
    <s v="A"/>
    <x v="0"/>
    <x v="1"/>
    <s v="Female"/>
    <x v="5"/>
    <n v="42.57"/>
    <n v="7"/>
    <n v="14.8995"/>
    <n v="312.8895"/>
    <x v="47"/>
    <d v="1899-12-30T11:51:00"/>
    <x v="1"/>
    <x v="945"/>
    <n v="4.7619047620000003"/>
    <n v="14.8995"/>
    <n v="6.8"/>
  </r>
  <r>
    <s v="577-34-7579"/>
    <s v="C"/>
    <x v="1"/>
    <x v="0"/>
    <s v="Male"/>
    <x v="4"/>
    <n v="50.49"/>
    <n v="9"/>
    <n v="22.720500000000001"/>
    <n v="477.13049999999998"/>
    <x v="8"/>
    <d v="1899-12-30T17:16:00"/>
    <x v="1"/>
    <x v="946"/>
    <n v="4.7619047620000003"/>
    <n v="22.720500000000001"/>
    <n v="5.4"/>
  </r>
  <r>
    <s v="430-02-3888"/>
    <s v="B"/>
    <x v="2"/>
    <x v="1"/>
    <s v="Male"/>
    <x v="1"/>
    <n v="46.02"/>
    <n v="6"/>
    <n v="13.805999999999999"/>
    <n v="289.92599999999999"/>
    <x v="13"/>
    <d v="1899-12-30T15:55:00"/>
    <x v="1"/>
    <x v="947"/>
    <n v="4.7619047620000003"/>
    <n v="13.805999999999999"/>
    <n v="7.1"/>
  </r>
  <r>
    <s v="867-47-1948"/>
    <s v="C"/>
    <x v="1"/>
    <x v="1"/>
    <s v="Female"/>
    <x v="2"/>
    <n v="15.8"/>
    <n v="10"/>
    <n v="7.9"/>
    <n v="165.9"/>
    <x v="51"/>
    <d v="1899-12-30T12:07:00"/>
    <x v="1"/>
    <x v="948"/>
    <n v="4.7619047620000003"/>
    <n v="7.9"/>
    <n v="7.8"/>
  </r>
  <r>
    <s v="384-59-6655"/>
    <s v="A"/>
    <x v="0"/>
    <x v="0"/>
    <s v="Female"/>
    <x v="4"/>
    <n v="98.66"/>
    <n v="9"/>
    <n v="44.396999999999998"/>
    <n v="932.33699999999999"/>
    <x v="88"/>
    <d v="1899-12-30T15:07:00"/>
    <x v="1"/>
    <x v="949"/>
    <n v="4.7619047620000003"/>
    <n v="44.396999999999998"/>
    <n v="8.4"/>
  </r>
  <r>
    <s v="256-58-3609"/>
    <s v="C"/>
    <x v="1"/>
    <x v="0"/>
    <s v="Male"/>
    <x v="5"/>
    <n v="91.98"/>
    <n v="1"/>
    <n v="4.5990000000000002"/>
    <n v="96.578999999999994"/>
    <x v="79"/>
    <d v="1899-12-30T15:29:00"/>
    <x v="1"/>
    <x v="950"/>
    <n v="4.7619047620000003"/>
    <n v="4.5990000000000002"/>
    <n v="9.8000000000000007"/>
  </r>
  <r>
    <s v="324-92-3863"/>
    <s v="A"/>
    <x v="0"/>
    <x v="0"/>
    <s v="Male"/>
    <x v="1"/>
    <n v="20.89"/>
    <n v="2"/>
    <n v="2.089"/>
    <n v="43.869"/>
    <x v="63"/>
    <d v="1899-12-30T18:45:00"/>
    <x v="1"/>
    <x v="951"/>
    <n v="4.7619047620000003"/>
    <n v="2.089"/>
    <n v="9.8000000000000007"/>
  </r>
  <r>
    <s v="593-08-5916"/>
    <s v="A"/>
    <x v="0"/>
    <x v="1"/>
    <s v="Female"/>
    <x v="5"/>
    <n v="15.5"/>
    <n v="1"/>
    <n v="0.77500000000000002"/>
    <n v="16.274999999999999"/>
    <x v="35"/>
    <d v="1899-12-30T15:23:00"/>
    <x v="2"/>
    <x v="952"/>
    <n v="4.7619047620000003"/>
    <n v="0.77500000000000002"/>
    <n v="7.4"/>
  </r>
  <r>
    <s v="364-34-2972"/>
    <s v="C"/>
    <x v="1"/>
    <x v="0"/>
    <s v="Male"/>
    <x v="1"/>
    <n v="96.82"/>
    <n v="3"/>
    <n v="14.523"/>
    <n v="304.983"/>
    <x v="73"/>
    <d v="1899-12-30T20:37:00"/>
    <x v="1"/>
    <x v="953"/>
    <n v="4.7619047620000003"/>
    <n v="14.523"/>
    <n v="6.7"/>
  </r>
  <r>
    <s v="794-42-3736"/>
    <s v="B"/>
    <x v="2"/>
    <x v="1"/>
    <s v="Male"/>
    <x v="4"/>
    <n v="33.33"/>
    <n v="2"/>
    <n v="3.3330000000000002"/>
    <n v="69.992999999999995"/>
    <x v="53"/>
    <d v="1899-12-30T14:41:00"/>
    <x v="2"/>
    <x v="954"/>
    <n v="4.7619047620000003"/>
    <n v="3.3330000000000002"/>
    <n v="6.4"/>
  </r>
  <r>
    <s v="172-42-8274"/>
    <s v="B"/>
    <x v="2"/>
    <x v="1"/>
    <s v="Female"/>
    <x v="1"/>
    <n v="38.270000000000003"/>
    <n v="2"/>
    <n v="3.827"/>
    <n v="80.367000000000004"/>
    <x v="22"/>
    <d v="1899-12-30T18:18:00"/>
    <x v="2"/>
    <x v="955"/>
    <n v="4.7619047620000003"/>
    <n v="3.827"/>
    <n v="5.8"/>
  </r>
  <r>
    <s v="558-60-5016"/>
    <s v="A"/>
    <x v="0"/>
    <x v="1"/>
    <s v="Female"/>
    <x v="2"/>
    <n v="33.299999999999997"/>
    <n v="9"/>
    <n v="14.984999999999999"/>
    <n v="314.685"/>
    <x v="31"/>
    <d v="1899-12-30T15:27:00"/>
    <x v="0"/>
    <x v="956"/>
    <n v="4.7619047620000003"/>
    <n v="14.984999999999999"/>
    <n v="7.2"/>
  </r>
  <r>
    <s v="195-06-0432"/>
    <s v="A"/>
    <x v="0"/>
    <x v="0"/>
    <s v="Male"/>
    <x v="2"/>
    <n v="81.010000000000005"/>
    <n v="3"/>
    <n v="12.1515"/>
    <n v="255.1815"/>
    <x v="50"/>
    <d v="1899-12-30T12:55:00"/>
    <x v="2"/>
    <x v="957"/>
    <n v="4.7619047620000003"/>
    <n v="12.1515"/>
    <n v="9.3000000000000007"/>
  </r>
  <r>
    <s v="605-03-2706"/>
    <s v="A"/>
    <x v="0"/>
    <x v="1"/>
    <s v="Female"/>
    <x v="0"/>
    <n v="15.8"/>
    <n v="3"/>
    <n v="2.37"/>
    <n v="49.77"/>
    <x v="5"/>
    <d v="1899-12-30T18:02:00"/>
    <x v="1"/>
    <x v="958"/>
    <n v="4.7619047620000003"/>
    <n v="2.37"/>
    <n v="9.5"/>
  </r>
  <r>
    <s v="214-30-2776"/>
    <s v="B"/>
    <x v="2"/>
    <x v="0"/>
    <s v="Female"/>
    <x v="1"/>
    <n v="34.49"/>
    <n v="5"/>
    <n v="8.6225000000000005"/>
    <n v="181.07249999999999"/>
    <x v="16"/>
    <d v="1899-12-30T19:44:00"/>
    <x v="2"/>
    <x v="959"/>
    <n v="4.7619047620000003"/>
    <n v="8.6225000000000005"/>
    <n v="9"/>
  </r>
  <r>
    <s v="746-04-1077"/>
    <s v="B"/>
    <x v="2"/>
    <x v="0"/>
    <s v="Female"/>
    <x v="4"/>
    <n v="84.63"/>
    <n v="10"/>
    <n v="42.314999999999998"/>
    <n v="888.61500000000001"/>
    <x v="17"/>
    <d v="1899-12-30T11:36:00"/>
    <x v="2"/>
    <x v="960"/>
    <n v="4.7619047620000003"/>
    <n v="42.314999999999998"/>
    <n v="9"/>
  </r>
  <r>
    <s v="448-34-8700"/>
    <s v="B"/>
    <x v="2"/>
    <x v="0"/>
    <s v="Male"/>
    <x v="2"/>
    <n v="36.909999999999997"/>
    <n v="7"/>
    <n v="12.9185"/>
    <n v="271.2885"/>
    <x v="34"/>
    <d v="1899-12-30T13:51:00"/>
    <x v="0"/>
    <x v="961"/>
    <n v="4.7619047620000003"/>
    <n v="12.9185"/>
    <n v="6.7"/>
  </r>
  <r>
    <s v="452-04-8808"/>
    <s v="B"/>
    <x v="2"/>
    <x v="1"/>
    <s v="Male"/>
    <x v="1"/>
    <n v="87.08"/>
    <n v="7"/>
    <n v="30.478000000000002"/>
    <n v="640.03800000000001"/>
    <x v="53"/>
    <d v="1899-12-30T15:17:00"/>
    <x v="1"/>
    <x v="962"/>
    <n v="4.7619047620000003"/>
    <n v="30.478000000000002"/>
    <n v="5.5"/>
  </r>
  <r>
    <s v="531-56-4728"/>
    <s v="A"/>
    <x v="0"/>
    <x v="1"/>
    <s v="Male"/>
    <x v="2"/>
    <n v="80.08"/>
    <n v="3"/>
    <n v="12.012"/>
    <n v="252.25200000000001"/>
    <x v="48"/>
    <d v="1899-12-30T15:29:00"/>
    <x v="1"/>
    <x v="963"/>
    <n v="4.7619047620000003"/>
    <n v="12.012"/>
    <n v="5.4"/>
  </r>
  <r>
    <s v="744-82-9138"/>
    <s v="C"/>
    <x v="1"/>
    <x v="1"/>
    <s v="Male"/>
    <x v="5"/>
    <n v="86.13"/>
    <n v="2"/>
    <n v="8.6129999999999995"/>
    <n v="180.87299999999999"/>
    <x v="13"/>
    <d v="1899-12-30T17:59:00"/>
    <x v="1"/>
    <x v="964"/>
    <n v="4.7619047620000003"/>
    <n v="8.6129999999999995"/>
    <n v="8.1999999999999993"/>
  </r>
  <r>
    <s v="883-69-1285"/>
    <s v="B"/>
    <x v="2"/>
    <x v="0"/>
    <s v="Male"/>
    <x v="5"/>
    <n v="49.92"/>
    <n v="2"/>
    <n v="4.992"/>
    <n v="104.83199999999999"/>
    <x v="43"/>
    <d v="1899-12-30T11:55:00"/>
    <x v="2"/>
    <x v="965"/>
    <n v="4.7619047620000003"/>
    <n v="4.992"/>
    <n v="7"/>
  </r>
  <r>
    <s v="221-25-5073"/>
    <s v="A"/>
    <x v="0"/>
    <x v="1"/>
    <s v="Female"/>
    <x v="4"/>
    <n v="74.66"/>
    <n v="4"/>
    <n v="14.932"/>
    <n v="313.572"/>
    <x v="31"/>
    <d v="1899-12-30T10:39:00"/>
    <x v="1"/>
    <x v="966"/>
    <n v="4.7619047620000003"/>
    <n v="14.932"/>
    <n v="8.5"/>
  </r>
  <r>
    <s v="518-71-6847"/>
    <s v="B"/>
    <x v="2"/>
    <x v="0"/>
    <s v="Male"/>
    <x v="4"/>
    <n v="26.6"/>
    <n v="6"/>
    <n v="7.98"/>
    <n v="167.58"/>
    <x v="84"/>
    <d v="1899-12-30T15:10:00"/>
    <x v="0"/>
    <x v="967"/>
    <n v="4.7619047620000003"/>
    <n v="7.98"/>
    <n v="4.9000000000000004"/>
  </r>
  <r>
    <s v="156-20-0370"/>
    <s v="B"/>
    <x v="2"/>
    <x v="1"/>
    <s v="Female"/>
    <x v="1"/>
    <n v="25.45"/>
    <n v="1"/>
    <n v="1.2725"/>
    <n v="26.7225"/>
    <x v="24"/>
    <d v="1899-12-30T18:10:00"/>
    <x v="2"/>
    <x v="968"/>
    <n v="4.7619047620000003"/>
    <n v="1.2725"/>
    <n v="5.0999999999999996"/>
  </r>
  <r>
    <s v="151-33-7434"/>
    <s v="B"/>
    <x v="2"/>
    <x v="1"/>
    <s v="Female"/>
    <x v="4"/>
    <n v="67.77"/>
    <n v="1"/>
    <n v="3.3885000000000001"/>
    <n v="71.158500000000004"/>
    <x v="87"/>
    <d v="1899-12-30T20:43:00"/>
    <x v="2"/>
    <x v="969"/>
    <n v="4.7619047620000003"/>
    <n v="3.3885000000000001"/>
    <n v="6.5"/>
  </r>
  <r>
    <s v="728-47-9078"/>
    <s v="C"/>
    <x v="1"/>
    <x v="0"/>
    <s v="Male"/>
    <x v="4"/>
    <n v="59.59"/>
    <n v="4"/>
    <n v="11.917999999999999"/>
    <n v="250.27799999999999"/>
    <x v="64"/>
    <d v="1899-12-30T12:46:00"/>
    <x v="1"/>
    <x v="970"/>
    <n v="4.7619047620000003"/>
    <n v="11.917999999999999"/>
    <n v="9.8000000000000007"/>
  </r>
  <r>
    <s v="809-46-1866"/>
    <s v="A"/>
    <x v="0"/>
    <x v="1"/>
    <s v="Male"/>
    <x v="0"/>
    <n v="58.15"/>
    <n v="4"/>
    <n v="11.63"/>
    <n v="244.23"/>
    <x v="54"/>
    <d v="1899-12-30T17:44:00"/>
    <x v="1"/>
    <x v="971"/>
    <n v="4.7619047620000003"/>
    <n v="11.63"/>
    <n v="8.4"/>
  </r>
  <r>
    <s v="139-32-4183"/>
    <s v="A"/>
    <x v="0"/>
    <x v="0"/>
    <s v="Female"/>
    <x v="3"/>
    <n v="97.48"/>
    <n v="9"/>
    <n v="43.866"/>
    <n v="921.18600000000004"/>
    <x v="86"/>
    <d v="1899-12-30T14:19:00"/>
    <x v="0"/>
    <x v="972"/>
    <n v="4.7619047620000003"/>
    <n v="43.866"/>
    <n v="7.4"/>
  </r>
  <r>
    <s v="148-41-7930"/>
    <s v="C"/>
    <x v="1"/>
    <x v="1"/>
    <s v="Male"/>
    <x v="0"/>
    <n v="99.96"/>
    <n v="7"/>
    <n v="34.985999999999997"/>
    <n v="734.70600000000002"/>
    <x v="54"/>
    <d v="1899-12-30T10:33:00"/>
    <x v="1"/>
    <x v="973"/>
    <n v="4.7619047620000003"/>
    <n v="34.985999999999997"/>
    <n v="6.1"/>
  </r>
  <r>
    <s v="189-40-5216"/>
    <s v="C"/>
    <x v="1"/>
    <x v="1"/>
    <s v="Male"/>
    <x v="1"/>
    <n v="96.37"/>
    <n v="7"/>
    <n v="33.729500000000002"/>
    <n v="708.31949999999995"/>
    <x v="51"/>
    <d v="1899-12-30T11:40:00"/>
    <x v="1"/>
    <x v="974"/>
    <n v="4.7619047620000003"/>
    <n v="33.729500000000002"/>
    <n v="6"/>
  </r>
  <r>
    <s v="374-38-5555"/>
    <s v="B"/>
    <x v="2"/>
    <x v="1"/>
    <s v="Female"/>
    <x v="5"/>
    <n v="63.71"/>
    <n v="5"/>
    <n v="15.9275"/>
    <n v="334.47750000000002"/>
    <x v="13"/>
    <d v="1899-12-30T19:30:00"/>
    <x v="0"/>
    <x v="975"/>
    <n v="4.7619047620000003"/>
    <n v="15.9275"/>
    <n v="8.5"/>
  </r>
  <r>
    <s v="764-44-8999"/>
    <s v="B"/>
    <x v="2"/>
    <x v="1"/>
    <s v="Female"/>
    <x v="0"/>
    <n v="14.76"/>
    <n v="2"/>
    <n v="1.476"/>
    <n v="30.995999999999999"/>
    <x v="67"/>
    <d v="1899-12-30T14:42:00"/>
    <x v="0"/>
    <x v="976"/>
    <n v="4.7619047620000003"/>
    <n v="1.476"/>
    <n v="4.3"/>
  </r>
  <r>
    <s v="552-44-5977"/>
    <s v="B"/>
    <x v="2"/>
    <x v="0"/>
    <s v="Male"/>
    <x v="0"/>
    <n v="62"/>
    <n v="8"/>
    <n v="24.8"/>
    <n v="520.79999999999995"/>
    <x v="75"/>
    <d v="1899-12-30T19:08:00"/>
    <x v="2"/>
    <x v="977"/>
    <n v="4.7619047620000003"/>
    <n v="24.8"/>
    <n v="6.2"/>
  </r>
  <r>
    <s v="267-62-7380"/>
    <s v="C"/>
    <x v="1"/>
    <x v="0"/>
    <s v="Male"/>
    <x v="1"/>
    <n v="82.34"/>
    <n v="10"/>
    <n v="41.17"/>
    <n v="864.57"/>
    <x v="14"/>
    <d v="1899-12-30T19:12:00"/>
    <x v="0"/>
    <x v="978"/>
    <n v="4.7619047620000003"/>
    <n v="41.17"/>
    <n v="4.3"/>
  </r>
  <r>
    <s v="430-53-4718"/>
    <s v="B"/>
    <x v="2"/>
    <x v="0"/>
    <s v="Male"/>
    <x v="0"/>
    <n v="75.37"/>
    <n v="8"/>
    <n v="30.148"/>
    <n v="633.10799999999995"/>
    <x v="26"/>
    <d v="1899-12-30T15:46:00"/>
    <x v="2"/>
    <x v="979"/>
    <n v="4.7619047620000003"/>
    <n v="30.148"/>
    <n v="8.4"/>
  </r>
  <r>
    <s v="886-18-2897"/>
    <s v="A"/>
    <x v="0"/>
    <x v="1"/>
    <s v="Female"/>
    <x v="4"/>
    <n v="56.56"/>
    <n v="5"/>
    <n v="14.14"/>
    <n v="296.94"/>
    <x v="23"/>
    <d v="1899-12-30T19:06:00"/>
    <x v="2"/>
    <x v="980"/>
    <n v="4.7619047620000003"/>
    <n v="14.14"/>
    <n v="4.5"/>
  </r>
  <r>
    <s v="602-16-6955"/>
    <s v="B"/>
    <x v="2"/>
    <x v="1"/>
    <s v="Female"/>
    <x v="3"/>
    <n v="76.599999999999994"/>
    <n v="10"/>
    <n v="38.299999999999997"/>
    <n v="804.3"/>
    <x v="46"/>
    <d v="1899-12-30T18:10:00"/>
    <x v="0"/>
    <x v="981"/>
    <n v="4.7619047620000003"/>
    <n v="38.299999999999997"/>
    <n v="6"/>
  </r>
  <r>
    <s v="745-74-0715"/>
    <s v="A"/>
    <x v="0"/>
    <x v="1"/>
    <s v="Male"/>
    <x v="1"/>
    <n v="58.03"/>
    <n v="2"/>
    <n v="5.8029999999999999"/>
    <n v="121.863"/>
    <x v="24"/>
    <d v="1899-12-30T20:46:00"/>
    <x v="0"/>
    <x v="982"/>
    <n v="4.7619047620000003"/>
    <n v="5.8029999999999999"/>
    <n v="8.8000000000000007"/>
  </r>
  <r>
    <s v="690-01-6631"/>
    <s v="B"/>
    <x v="2"/>
    <x v="1"/>
    <s v="Male"/>
    <x v="5"/>
    <n v="17.489999999999998"/>
    <n v="10"/>
    <n v="8.7449999999999992"/>
    <n v="183.64500000000001"/>
    <x v="70"/>
    <d v="1899-12-30T18:35:00"/>
    <x v="0"/>
    <x v="983"/>
    <n v="4.7619047620000003"/>
    <n v="8.7449999999999992"/>
    <n v="6.6"/>
  </r>
  <r>
    <s v="652-49-6720"/>
    <s v="C"/>
    <x v="1"/>
    <x v="0"/>
    <s v="Female"/>
    <x v="1"/>
    <n v="60.95"/>
    <n v="1"/>
    <n v="3.0474999999999999"/>
    <n v="63.997500000000002"/>
    <x v="67"/>
    <d v="1899-12-30T11:40:00"/>
    <x v="0"/>
    <x v="984"/>
    <n v="4.7619047620000003"/>
    <n v="3.0474999999999999"/>
    <n v="5.9"/>
  </r>
  <r>
    <s v="233-67-5758"/>
    <s v="C"/>
    <x v="1"/>
    <x v="1"/>
    <s v="Male"/>
    <x v="0"/>
    <n v="40.35"/>
    <n v="1"/>
    <n v="2.0175000000000001"/>
    <n v="42.3675"/>
    <x v="71"/>
    <d v="1899-12-30T13:46:00"/>
    <x v="0"/>
    <x v="985"/>
    <n v="4.7619047620000003"/>
    <n v="2.0175000000000001"/>
    <n v="6.2"/>
  </r>
  <r>
    <s v="303-96-2227"/>
    <s v="B"/>
    <x v="2"/>
    <x v="1"/>
    <s v="Female"/>
    <x v="2"/>
    <n v="97.38"/>
    <n v="10"/>
    <n v="48.69"/>
    <n v="1022.49"/>
    <x v="22"/>
    <d v="1899-12-30T17:16:00"/>
    <x v="0"/>
    <x v="986"/>
    <n v="4.7619047620000003"/>
    <n v="48.69"/>
    <n v="4.4000000000000004"/>
  </r>
  <r>
    <s v="727-02-1313"/>
    <s v="A"/>
    <x v="0"/>
    <x v="0"/>
    <s v="Male"/>
    <x v="4"/>
    <n v="31.84"/>
    <n v="1"/>
    <n v="1.5920000000000001"/>
    <n v="33.432000000000002"/>
    <x v="57"/>
    <d v="1899-12-30T13:22:00"/>
    <x v="1"/>
    <x v="987"/>
    <n v="4.7619047620000003"/>
    <n v="1.5920000000000001"/>
    <n v="7.7"/>
  </r>
  <r>
    <s v="347-56-2442"/>
    <s v="A"/>
    <x v="0"/>
    <x v="1"/>
    <s v="Male"/>
    <x v="2"/>
    <n v="65.819999999999993"/>
    <n v="1"/>
    <n v="3.2909999999999999"/>
    <n v="69.111000000000004"/>
    <x v="70"/>
    <d v="1899-12-30T15:33:00"/>
    <x v="1"/>
    <x v="988"/>
    <n v="4.7619047620000003"/>
    <n v="3.2909999999999999"/>
    <n v="4.0999999999999996"/>
  </r>
  <r>
    <s v="849-09-3807"/>
    <s v="A"/>
    <x v="0"/>
    <x v="0"/>
    <s v="Female"/>
    <x v="5"/>
    <n v="88.34"/>
    <n v="7"/>
    <n v="30.919"/>
    <n v="649.29899999999998"/>
    <x v="67"/>
    <d v="1899-12-30T13:28:00"/>
    <x v="1"/>
    <x v="989"/>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2BB91-CD31-4BF7-82BA-636537326D3C}"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4:B78"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33EF4-A30D-41E2-853C-F13F209CEAAC}" name="PivotTable9"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6:B60"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277E2E-C44A-485D-A1AD-F4646C4C7FD8}"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40:B47"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5"/>
  </dataFields>
  <formats count="1">
    <format dxfId="6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BAD0C1-AA94-4E53-A262-A1943D6EE4B1}" name="PivotTable7"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1:B34"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dataFields>
  <formats count="13">
    <format dxfId="73">
      <pivotArea collapsedLevelsAreSubtotals="1" fieldPosition="0">
        <references count="1">
          <reference field="18" count="1">
            <x v="1"/>
          </reference>
        </references>
      </pivotArea>
    </format>
    <format dxfId="72">
      <pivotArea collapsedLevelsAreSubtotals="1" fieldPosition="0">
        <references count="1">
          <reference field="18" count="1">
            <x v="2"/>
          </reference>
        </references>
      </pivotArea>
    </format>
    <format dxfId="71">
      <pivotArea collapsedLevelsAreSubtotals="1" fieldPosition="0">
        <references count="1">
          <reference field="18" count="1">
            <x v="3"/>
          </reference>
        </references>
      </pivotArea>
    </format>
    <format dxfId="70">
      <pivotArea collapsedLevelsAreSubtotals="1" fieldPosition="0">
        <references count="1">
          <reference field="18" count="1">
            <x v="4"/>
          </reference>
        </references>
      </pivotArea>
    </format>
    <format dxfId="69">
      <pivotArea collapsedLevelsAreSubtotals="1" fieldPosition="0">
        <references count="1">
          <reference field="18" count="1">
            <x v="5"/>
          </reference>
        </references>
      </pivotArea>
    </format>
    <format dxfId="68">
      <pivotArea collapsedLevelsAreSubtotals="1" fieldPosition="0">
        <references count="1">
          <reference field="18" count="1">
            <x v="6"/>
          </reference>
        </references>
      </pivotArea>
    </format>
    <format dxfId="67">
      <pivotArea collapsedLevelsAreSubtotals="1" fieldPosition="0">
        <references count="1">
          <reference field="18" count="1">
            <x v="7"/>
          </reference>
        </references>
      </pivotArea>
    </format>
    <format dxfId="66">
      <pivotArea collapsedLevelsAreSubtotals="1" fieldPosition="0">
        <references count="1">
          <reference field="18" count="1">
            <x v="8"/>
          </reference>
        </references>
      </pivotArea>
    </format>
    <format dxfId="65">
      <pivotArea collapsedLevelsAreSubtotals="1" fieldPosition="0">
        <references count="1">
          <reference field="18" count="1">
            <x v="9"/>
          </reference>
        </references>
      </pivotArea>
    </format>
    <format dxfId="64">
      <pivotArea collapsedLevelsAreSubtotals="1" fieldPosition="0">
        <references count="1">
          <reference field="18" count="1">
            <x v="10"/>
          </reference>
        </references>
      </pivotArea>
    </format>
    <format dxfId="63">
      <pivotArea collapsedLevelsAreSubtotals="1" fieldPosition="0">
        <references count="1">
          <reference field="18" count="1">
            <x v="11"/>
          </reference>
        </references>
      </pivotArea>
    </format>
    <format dxfId="62">
      <pivotArea collapsedLevelsAreSubtotals="1" fieldPosition="0">
        <references count="1">
          <reference field="18" count="1">
            <x v="12"/>
          </reference>
        </references>
      </pivotArea>
    </format>
    <format dxfId="61">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1001C-44C8-4911-BE4C-D983C7F7C65A}" name="PivotTable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14673A-F113-4D9D-ACDD-9A0F32FA19D4}"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CEF5B4-16BB-4A19-9B2B-B334D01D3040}"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77E2CF-F0AF-471F-B4C0-D763EE9B14B4}"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5"/>
  </dataFields>
  <formats count="1">
    <format dxfId="74">
      <pivotArea outline="0" collapsedLevelsAreSubtotals="1" fieldPosition="0"/>
    </format>
  </formats>
  <pivotTableStyleInfo name="PivotStyleLight16" showRowHeaders="1" showColHeaders="1" showRowStripes="0" showColStripes="0" showLastColumn="1"/>
  <filters count="1">
    <filter fld="10" type="dateBetween" evalOrder="-1" id="5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9030C79-D608-41AD-B875-EB9BAC4A51D3}" sourceName="City">
  <pivotTables>
    <pivotTable tabId="3" name="PivotTable7"/>
    <pivotTable tabId="3" name="PivotTable4"/>
    <pivotTable tabId="3" name="PivotTable3"/>
    <pivotTable tabId="3" name="PivotTable5"/>
    <pivotTable tabId="3" name="PivotTable6"/>
    <pivotTable tabId="3" name="PivotTable8"/>
    <pivotTable tabId="3" name="PivotTable9"/>
    <pivotTable tabId="3" name="PivotTable10"/>
  </pivotTables>
  <data>
    <tabular pivotCacheId="19443224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BA8FEA7-2447-4245-9D96-1C4799B78056}" sourceName="Customer type">
  <pivotTables>
    <pivotTable tabId="3" name="PivotTable7"/>
    <pivotTable tabId="3" name="PivotTable4"/>
    <pivotTable tabId="3" name="PivotTable3"/>
    <pivotTable tabId="3" name="PivotTable5"/>
    <pivotTable tabId="3" name="PivotTable6"/>
    <pivotTable tabId="3" name="PivotTable8"/>
    <pivotTable tabId="3" name="PivotTable9"/>
    <pivotTable tabId="3" name="PivotTable10"/>
  </pivotTables>
  <data>
    <tabular pivotCacheId="19443224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23D62E7-1024-49E1-8F4B-EFC6F5A68605}" sourceName="Product line">
  <pivotTables>
    <pivotTable tabId="3" name="PivotTable7"/>
    <pivotTable tabId="3" name="PivotTable4"/>
    <pivotTable tabId="3" name="PivotTable3"/>
    <pivotTable tabId="3" name="PivotTable5"/>
    <pivotTable tabId="3" name="PivotTable6"/>
    <pivotTable tabId="3" name="PivotTable8"/>
    <pivotTable tabId="3" name="PivotTable9"/>
    <pivotTable tabId="3" name="PivotTable10"/>
  </pivotTables>
  <data>
    <tabular pivotCacheId="1944322478">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A4B6582-F7DA-482E-83A4-ECA0BCF50967}" sourceName="Payment">
  <pivotTables>
    <pivotTable tabId="3" name="PivotTable7"/>
    <pivotTable tabId="3" name="PivotTable4"/>
    <pivotTable tabId="3" name="PivotTable3"/>
    <pivotTable tabId="3" name="PivotTable5"/>
    <pivotTable tabId="3" name="PivotTable6"/>
    <pivotTable tabId="3" name="PivotTable8"/>
    <pivotTable tabId="3" name="PivotTable9"/>
    <pivotTable tabId="3" name="PivotTable10"/>
  </pivotTables>
  <data>
    <tabular pivotCacheId="19443224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DC441DA-432D-4963-9315-3DA45F19A8CB}" cache="Slicer_City" caption="City" rowHeight="234950"/>
  <slicer name="Customer type" xr10:uid="{D3A286D7-FB19-48C9-8F8C-670F6FF7109B}" cache="Slicer_Customer_type" caption="Customer type" rowHeight="234950"/>
  <slicer name="Product line" xr10:uid="{64A1324E-720A-4B12-8980-F67DA3FC1FB6}" cache="Slicer_Product_line" caption="Product line" rowHeight="234950"/>
  <slicer name="Payment" xr10:uid="{E03B89A5-DDFE-44BD-8A0E-9162B070F5F3}" cache="Slicer_Payment" caption="Payment"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7E2C00-ADCE-4F07-BBCB-2F2F2C718B2A}" sourceName="Date">
  <pivotTables>
    <pivotTable tabId="3" name="PivotTable7"/>
    <pivotTable tabId="3" name="PivotTable4"/>
    <pivotTable tabId="3" name="PivotTable3"/>
    <pivotTable tabId="3" name="PivotTable5"/>
    <pivotTable tabId="3" name="PivotTable6"/>
    <pivotTable tabId="3" name="PivotTable8"/>
    <pivotTable tabId="3" name="PivotTable9"/>
    <pivotTable tabId="3" name="PivotTable10"/>
  </pivotTables>
  <state minimalRefreshVersion="6" lastRefreshVersion="6" pivotCacheId="1944322478"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0F72166-F9CA-4783-8E20-69155AD70F55}" cache="NativeTimeline_Date" caption="Sales Period" level="2" selectionLevel="0" scrollPosition="2019-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55B9-96DE-40E0-9807-F41A3393BDF2}">
  <dimension ref="A3:B78"/>
  <sheetViews>
    <sheetView topLeftCell="A37" zoomScaleNormal="100" workbookViewId="0">
      <selection activeCell="C91" sqref="C91"/>
    </sheetView>
  </sheetViews>
  <sheetFormatPr defaultRowHeight="14.4" x14ac:dyDescent="0.3"/>
  <cols>
    <col min="1" max="1" width="12.5546875" bestFit="1" customWidth="1"/>
    <col min="2" max="2" width="16" bestFit="1" customWidth="1"/>
  </cols>
  <sheetData>
    <row r="3" spans="1:1" x14ac:dyDescent="0.3">
      <c r="A3" t="s">
        <v>1041</v>
      </c>
    </row>
    <row r="4" spans="1:1" x14ac:dyDescent="0.3">
      <c r="A4" s="10">
        <v>322966.74900000007</v>
      </c>
    </row>
    <row r="7" spans="1:1" x14ac:dyDescent="0.3">
      <c r="A7" t="s">
        <v>1042</v>
      </c>
    </row>
    <row r="8" spans="1:1" x14ac:dyDescent="0.3">
      <c r="A8" s="9">
        <v>5510</v>
      </c>
    </row>
    <row r="11" spans="1:1" x14ac:dyDescent="0.3">
      <c r="A11" t="s">
        <v>1043</v>
      </c>
    </row>
    <row r="12" spans="1:1" x14ac:dyDescent="0.3">
      <c r="A12" s="9">
        <v>307587.38000000035</v>
      </c>
    </row>
    <row r="15" spans="1:1" x14ac:dyDescent="0.3">
      <c r="A15" t="s">
        <v>1044</v>
      </c>
    </row>
    <row r="16" spans="1:1" x14ac:dyDescent="0.3">
      <c r="A16" s="9">
        <v>6.9727000000000032</v>
      </c>
    </row>
    <row r="21" spans="1:2" x14ac:dyDescent="0.3">
      <c r="A21" s="11" t="s">
        <v>1045</v>
      </c>
      <c r="B21" t="s">
        <v>1043</v>
      </c>
    </row>
    <row r="22" spans="1:2" x14ac:dyDescent="0.3">
      <c r="A22" s="12" t="s">
        <v>1047</v>
      </c>
      <c r="B22" s="10">
        <v>82440.540000000095</v>
      </c>
    </row>
    <row r="23" spans="1:2" x14ac:dyDescent="0.3">
      <c r="A23" s="12" t="s">
        <v>1048</v>
      </c>
      <c r="B23" s="10">
        <v>60161.659999999982</v>
      </c>
    </row>
    <row r="24" spans="1:2" x14ac:dyDescent="0.3">
      <c r="A24" s="12" t="s">
        <v>1049</v>
      </c>
      <c r="B24" s="10">
        <v>69285</v>
      </c>
    </row>
    <row r="25" spans="1:2" x14ac:dyDescent="0.3">
      <c r="A25" s="12" t="s">
        <v>1050</v>
      </c>
      <c r="B25" s="10">
        <v>7578.6900000000005</v>
      </c>
    </row>
    <row r="26" spans="1:2" x14ac:dyDescent="0.3">
      <c r="A26" s="12" t="s">
        <v>1051</v>
      </c>
      <c r="B26" s="10">
        <v>12189.230000000001</v>
      </c>
    </row>
    <row r="27" spans="1:2" x14ac:dyDescent="0.3">
      <c r="A27" s="12" t="s">
        <v>1052</v>
      </c>
      <c r="B27" s="10">
        <v>9154.5</v>
      </c>
    </row>
    <row r="28" spans="1:2" x14ac:dyDescent="0.3">
      <c r="A28" s="12" t="s">
        <v>1053</v>
      </c>
      <c r="B28" s="10">
        <v>10953.060000000001</v>
      </c>
    </row>
    <row r="29" spans="1:2" x14ac:dyDescent="0.3">
      <c r="A29" s="12" t="s">
        <v>1054</v>
      </c>
      <c r="B29" s="10">
        <v>12860.740000000003</v>
      </c>
    </row>
    <row r="30" spans="1:2" x14ac:dyDescent="0.3">
      <c r="A30" s="12" t="s">
        <v>1055</v>
      </c>
      <c r="B30" s="10">
        <v>13111.699999999999</v>
      </c>
    </row>
    <row r="31" spans="1:2" x14ac:dyDescent="0.3">
      <c r="A31" s="12" t="s">
        <v>1056</v>
      </c>
      <c r="B31" s="10">
        <v>9395.4300000000021</v>
      </c>
    </row>
    <row r="32" spans="1:2" x14ac:dyDescent="0.3">
      <c r="A32" s="12" t="s">
        <v>1057</v>
      </c>
      <c r="B32" s="10">
        <v>9160.35</v>
      </c>
    </row>
    <row r="33" spans="1:2" x14ac:dyDescent="0.3">
      <c r="A33" s="12" t="s">
        <v>1058</v>
      </c>
      <c r="B33" s="10">
        <v>11296.480000000001</v>
      </c>
    </row>
    <row r="34" spans="1:2" x14ac:dyDescent="0.3">
      <c r="A34" s="12" t="s">
        <v>1046</v>
      </c>
      <c r="B34" s="10">
        <v>307587.38000000006</v>
      </c>
    </row>
    <row r="40" spans="1:2" x14ac:dyDescent="0.3">
      <c r="A40" s="11" t="s">
        <v>1045</v>
      </c>
      <c r="B40" t="s">
        <v>1043</v>
      </c>
    </row>
    <row r="41" spans="1:2" x14ac:dyDescent="0.3">
      <c r="A41" s="12" t="s">
        <v>28</v>
      </c>
      <c r="B41" s="10">
        <v>51750.029999999984</v>
      </c>
    </row>
    <row r="42" spans="1:2" x14ac:dyDescent="0.3">
      <c r="A42" s="12" t="s">
        <v>46</v>
      </c>
      <c r="B42" s="10">
        <v>51719.899999999972</v>
      </c>
    </row>
    <row r="43" spans="1:2" x14ac:dyDescent="0.3">
      <c r="A43" s="12" t="s">
        <v>44</v>
      </c>
      <c r="B43" s="10">
        <v>53471.280000000057</v>
      </c>
    </row>
    <row r="44" spans="1:2" x14ac:dyDescent="0.3">
      <c r="A44" s="12" t="s">
        <v>22</v>
      </c>
      <c r="B44" s="10">
        <v>46851.179999999978</v>
      </c>
    </row>
    <row r="45" spans="1:2" x14ac:dyDescent="0.3">
      <c r="A45" s="12" t="s">
        <v>32</v>
      </c>
      <c r="B45" s="10">
        <v>51297.059999999983</v>
      </c>
    </row>
    <row r="46" spans="1:2" x14ac:dyDescent="0.3">
      <c r="A46" s="12" t="s">
        <v>36</v>
      </c>
      <c r="B46" s="10">
        <v>52497.930000000022</v>
      </c>
    </row>
    <row r="47" spans="1:2" x14ac:dyDescent="0.3">
      <c r="A47" s="12" t="s">
        <v>1046</v>
      </c>
      <c r="B47" s="10">
        <v>307587.38</v>
      </c>
    </row>
    <row r="56" spans="1:2" x14ac:dyDescent="0.3">
      <c r="A56" s="11" t="s">
        <v>1045</v>
      </c>
      <c r="B56" t="s">
        <v>1059</v>
      </c>
    </row>
    <row r="57" spans="1:2" x14ac:dyDescent="0.3">
      <c r="A57" s="12" t="s">
        <v>29</v>
      </c>
      <c r="B57" s="9">
        <v>344</v>
      </c>
    </row>
    <row r="58" spans="1:2" x14ac:dyDescent="0.3">
      <c r="A58" s="12" t="s">
        <v>33</v>
      </c>
      <c r="B58" s="9">
        <v>311</v>
      </c>
    </row>
    <row r="59" spans="1:2" x14ac:dyDescent="0.3">
      <c r="A59" s="12" t="s">
        <v>23</v>
      </c>
      <c r="B59" s="9">
        <v>345</v>
      </c>
    </row>
    <row r="60" spans="1:2" x14ac:dyDescent="0.3">
      <c r="A60" s="12" t="s">
        <v>1046</v>
      </c>
      <c r="B60" s="9">
        <v>1000</v>
      </c>
    </row>
    <row r="74" spans="1:2" x14ac:dyDescent="0.3">
      <c r="A74" s="11" t="s">
        <v>1045</v>
      </c>
      <c r="B74" t="s">
        <v>1044</v>
      </c>
    </row>
    <row r="75" spans="1:2" x14ac:dyDescent="0.3">
      <c r="A75" s="12" t="s">
        <v>43</v>
      </c>
      <c r="B75" s="9">
        <v>6.8180722891566266</v>
      </c>
    </row>
    <row r="76" spans="1:2" x14ac:dyDescent="0.3">
      <c r="A76" s="12" t="s">
        <v>26</v>
      </c>
      <c r="B76" s="9">
        <v>7.0728658536585378</v>
      </c>
    </row>
    <row r="77" spans="1:2" x14ac:dyDescent="0.3">
      <c r="A77" s="12" t="s">
        <v>19</v>
      </c>
      <c r="B77" s="9">
        <v>7.0270588235294129</v>
      </c>
    </row>
    <row r="78" spans="1:2" x14ac:dyDescent="0.3">
      <c r="A78" s="12" t="s">
        <v>1046</v>
      </c>
      <c r="B78" s="9">
        <v>6.9727000000000023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heetViews>
  <sheetFormatPr defaultColWidth="14.44140625" defaultRowHeight="15" customHeight="1" x14ac:dyDescent="0.3"/>
  <cols>
    <col min="1" max="1" width="11.33203125" customWidth="1"/>
    <col min="2" max="3" width="8.6640625" customWidth="1"/>
    <col min="4" max="4" width="15.33203125" customWidth="1"/>
    <col min="5" max="5" width="9" customWidth="1"/>
    <col min="6" max="6" width="13" customWidth="1"/>
    <col min="7" max="7" width="11" customWidth="1"/>
    <col min="8" max="8" width="10.33203125" customWidth="1"/>
    <col min="9" max="10" width="8.6640625" customWidth="1"/>
    <col min="11" max="11" width="12.6640625" customWidth="1"/>
    <col min="12" max="12" width="8.6640625" customWidth="1"/>
    <col min="13" max="13" width="10.44140625" customWidth="1"/>
    <col min="14" max="14" width="8.6640625" customWidth="1"/>
    <col min="15" max="15" width="23.44140625" customWidth="1"/>
    <col min="16" max="16" width="13.88671875" customWidth="1"/>
    <col min="17" max="26" width="8.6640625" customWidth="1"/>
  </cols>
  <sheetData>
    <row r="1" spans="1:17"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3">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3">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3">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3">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3">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3">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3">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x14ac:dyDescent="0.3">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3">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x14ac:dyDescent="0.3">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x14ac:dyDescent="0.3">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3">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3">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3">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3">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x14ac:dyDescent="0.3">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3">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3">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3">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x14ac:dyDescent="0.3">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3">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x14ac:dyDescent="0.3">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x14ac:dyDescent="0.3">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3">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3">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3">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x14ac:dyDescent="0.3">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3">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x14ac:dyDescent="0.3">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3">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x14ac:dyDescent="0.3">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x14ac:dyDescent="0.3">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x14ac:dyDescent="0.3">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3">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x14ac:dyDescent="0.3">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x14ac:dyDescent="0.3">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3">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3">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x14ac:dyDescent="0.3">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x14ac:dyDescent="0.3">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x14ac:dyDescent="0.3">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x14ac:dyDescent="0.3">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x14ac:dyDescent="0.3">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x14ac:dyDescent="0.3">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x14ac:dyDescent="0.3">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3">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x14ac:dyDescent="0.3">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x14ac:dyDescent="0.3">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3">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x14ac:dyDescent="0.3">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x14ac:dyDescent="0.3">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3">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x14ac:dyDescent="0.3">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x14ac:dyDescent="0.3">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x14ac:dyDescent="0.3">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3">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3">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3">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3">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3">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x14ac:dyDescent="0.3">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x14ac:dyDescent="0.3">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x14ac:dyDescent="0.3">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3">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x14ac:dyDescent="0.3">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3">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x14ac:dyDescent="0.3">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x14ac:dyDescent="0.3">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3">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3">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x14ac:dyDescent="0.3">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x14ac:dyDescent="0.3">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x14ac:dyDescent="0.3">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3">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3">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3">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x14ac:dyDescent="0.3">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3">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x14ac:dyDescent="0.3">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x14ac:dyDescent="0.3">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x14ac:dyDescent="0.3">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x14ac:dyDescent="0.3">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x14ac:dyDescent="0.3">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x14ac:dyDescent="0.3">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x14ac:dyDescent="0.3">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x14ac:dyDescent="0.3">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x14ac:dyDescent="0.3">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3">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3">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x14ac:dyDescent="0.3">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x14ac:dyDescent="0.3">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x14ac:dyDescent="0.3">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3">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x14ac:dyDescent="0.3">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x14ac:dyDescent="0.3">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3">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x14ac:dyDescent="0.3">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3">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3">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x14ac:dyDescent="0.3">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x14ac:dyDescent="0.3">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x14ac:dyDescent="0.3">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3">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3">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x14ac:dyDescent="0.3">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3">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x14ac:dyDescent="0.3">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3">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x14ac:dyDescent="0.3">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3">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x14ac:dyDescent="0.3">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x14ac:dyDescent="0.3">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x14ac:dyDescent="0.3">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3">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x14ac:dyDescent="0.3">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x14ac:dyDescent="0.3">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x14ac:dyDescent="0.3">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x14ac:dyDescent="0.3">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3">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x14ac:dyDescent="0.3">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3">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x14ac:dyDescent="0.3">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x14ac:dyDescent="0.3">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x14ac:dyDescent="0.3">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x14ac:dyDescent="0.3">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3">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3">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x14ac:dyDescent="0.3">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x14ac:dyDescent="0.3">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x14ac:dyDescent="0.3">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x14ac:dyDescent="0.3">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3">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x14ac:dyDescent="0.3">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3">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x14ac:dyDescent="0.3">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x14ac:dyDescent="0.3">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3">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3">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x14ac:dyDescent="0.3">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3">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x14ac:dyDescent="0.3">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x14ac:dyDescent="0.3">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x14ac:dyDescent="0.3">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x14ac:dyDescent="0.3">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3">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x14ac:dyDescent="0.3">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3">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x14ac:dyDescent="0.3">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x14ac:dyDescent="0.3">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3">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x14ac:dyDescent="0.3">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x14ac:dyDescent="0.3">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3">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x14ac:dyDescent="0.3">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x14ac:dyDescent="0.3">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3">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3">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x14ac:dyDescent="0.3">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x14ac:dyDescent="0.3">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x14ac:dyDescent="0.3">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x14ac:dyDescent="0.3">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3">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3">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x14ac:dyDescent="0.3">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x14ac:dyDescent="0.3">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x14ac:dyDescent="0.3">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x14ac:dyDescent="0.3">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3">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3">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3">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3">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x14ac:dyDescent="0.3">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3">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3">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x14ac:dyDescent="0.3">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3">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3">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x14ac:dyDescent="0.3">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3">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x14ac:dyDescent="0.3">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x14ac:dyDescent="0.3">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x14ac:dyDescent="0.3">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3">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x14ac:dyDescent="0.3">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3">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x14ac:dyDescent="0.3">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x14ac:dyDescent="0.3">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x14ac:dyDescent="0.3">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3">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x14ac:dyDescent="0.3">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x14ac:dyDescent="0.3">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x14ac:dyDescent="0.3">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x14ac:dyDescent="0.3">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x14ac:dyDescent="0.3">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3">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x14ac:dyDescent="0.3">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x14ac:dyDescent="0.3">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3">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x14ac:dyDescent="0.3">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x14ac:dyDescent="0.3">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x14ac:dyDescent="0.3">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3">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3">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x14ac:dyDescent="0.3">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x14ac:dyDescent="0.3">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3">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3">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x14ac:dyDescent="0.3">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x14ac:dyDescent="0.3">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3">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3">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x14ac:dyDescent="0.3">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x14ac:dyDescent="0.3">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x14ac:dyDescent="0.3">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x14ac:dyDescent="0.3">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3">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x14ac:dyDescent="0.3">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3">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x14ac:dyDescent="0.3">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x14ac:dyDescent="0.3">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3">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x14ac:dyDescent="0.3">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3">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x14ac:dyDescent="0.3">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3">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x14ac:dyDescent="0.3">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x14ac:dyDescent="0.3">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3">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3">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3">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x14ac:dyDescent="0.3">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3">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x14ac:dyDescent="0.3">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x14ac:dyDescent="0.3">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3">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3">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x14ac:dyDescent="0.3">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x14ac:dyDescent="0.3">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3">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3">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3">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3">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x14ac:dyDescent="0.3">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3">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x14ac:dyDescent="0.3">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3">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3">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3">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3">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x14ac:dyDescent="0.3">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x14ac:dyDescent="0.3">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x14ac:dyDescent="0.3">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x14ac:dyDescent="0.3">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3">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3">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x14ac:dyDescent="0.3">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3">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3">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3">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3">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3">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x14ac:dyDescent="0.3">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x14ac:dyDescent="0.3">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3">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x14ac:dyDescent="0.3">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3">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x14ac:dyDescent="0.3">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x14ac:dyDescent="0.3">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3">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3">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x14ac:dyDescent="0.3">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x14ac:dyDescent="0.3">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3">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3">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x14ac:dyDescent="0.3">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x14ac:dyDescent="0.3">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x14ac:dyDescent="0.3">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x14ac:dyDescent="0.3">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x14ac:dyDescent="0.3">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3">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3">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x14ac:dyDescent="0.3">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3">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3">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3">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x14ac:dyDescent="0.3">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x14ac:dyDescent="0.3">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x14ac:dyDescent="0.3">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x14ac:dyDescent="0.3">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3">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3">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3">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3">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3">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x14ac:dyDescent="0.3">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3">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3">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3">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3">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x14ac:dyDescent="0.3">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x14ac:dyDescent="0.3">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x14ac:dyDescent="0.3">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x14ac:dyDescent="0.3">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3">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3">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3">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3">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3">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3">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3">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x14ac:dyDescent="0.3">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x14ac:dyDescent="0.3">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3">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3">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3">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x14ac:dyDescent="0.3">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x14ac:dyDescent="0.3">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3">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x14ac:dyDescent="0.3">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x14ac:dyDescent="0.3">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x14ac:dyDescent="0.3">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x14ac:dyDescent="0.3">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3">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3">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3">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x14ac:dyDescent="0.3">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3">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x14ac:dyDescent="0.3">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x14ac:dyDescent="0.3">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3">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x14ac:dyDescent="0.3">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3">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3">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3">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x14ac:dyDescent="0.3">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3">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3">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x14ac:dyDescent="0.3">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3">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x14ac:dyDescent="0.3">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3">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x14ac:dyDescent="0.3">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x14ac:dyDescent="0.3">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x14ac:dyDescent="0.3">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3">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3">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3">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x14ac:dyDescent="0.3">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3">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x14ac:dyDescent="0.3">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x14ac:dyDescent="0.3">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3">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x14ac:dyDescent="0.3">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x14ac:dyDescent="0.3">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3">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x14ac:dyDescent="0.3">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x14ac:dyDescent="0.3">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x14ac:dyDescent="0.3">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3">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x14ac:dyDescent="0.3">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3">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x14ac:dyDescent="0.3">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x14ac:dyDescent="0.3">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3">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x14ac:dyDescent="0.3">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x14ac:dyDescent="0.3">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3">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3">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x14ac:dyDescent="0.3">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3">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3">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x14ac:dyDescent="0.3">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x14ac:dyDescent="0.3">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x14ac:dyDescent="0.3">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3">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3">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x14ac:dyDescent="0.3">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x14ac:dyDescent="0.3">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x14ac:dyDescent="0.3">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3">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3">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3">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x14ac:dyDescent="0.3">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x14ac:dyDescent="0.3">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3">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x14ac:dyDescent="0.3">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x14ac:dyDescent="0.3">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3">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x14ac:dyDescent="0.3">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x14ac:dyDescent="0.3">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x14ac:dyDescent="0.3">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x14ac:dyDescent="0.3">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3">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3">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3">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3">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3">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x14ac:dyDescent="0.3">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x14ac:dyDescent="0.3">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3">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x14ac:dyDescent="0.3">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x14ac:dyDescent="0.3">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x14ac:dyDescent="0.3">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x14ac:dyDescent="0.3">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x14ac:dyDescent="0.3">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3">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3">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x14ac:dyDescent="0.3">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3">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x14ac:dyDescent="0.3">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x14ac:dyDescent="0.3">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x14ac:dyDescent="0.3">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3">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3">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3">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x14ac:dyDescent="0.3">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x14ac:dyDescent="0.3">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x14ac:dyDescent="0.3">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x14ac:dyDescent="0.3">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3">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x14ac:dyDescent="0.3">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3">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x14ac:dyDescent="0.3">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x14ac:dyDescent="0.3">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x14ac:dyDescent="0.3">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x14ac:dyDescent="0.3">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3">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x14ac:dyDescent="0.3">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x14ac:dyDescent="0.3">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3">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x14ac:dyDescent="0.3">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x14ac:dyDescent="0.3">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3">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x14ac:dyDescent="0.3">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x14ac:dyDescent="0.3">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x14ac:dyDescent="0.3">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x14ac:dyDescent="0.3">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3">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x14ac:dyDescent="0.3">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3">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x14ac:dyDescent="0.3">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x14ac:dyDescent="0.3">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3">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x14ac:dyDescent="0.3">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3">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x14ac:dyDescent="0.3">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x14ac:dyDescent="0.3">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x14ac:dyDescent="0.3">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x14ac:dyDescent="0.3">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x14ac:dyDescent="0.3">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3">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3">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3">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3">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3">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x14ac:dyDescent="0.3">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x14ac:dyDescent="0.3">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3">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3">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x14ac:dyDescent="0.3">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x14ac:dyDescent="0.3">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x14ac:dyDescent="0.3">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x14ac:dyDescent="0.3">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x14ac:dyDescent="0.3">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3">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x14ac:dyDescent="0.3">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x14ac:dyDescent="0.3">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x14ac:dyDescent="0.3">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x14ac:dyDescent="0.3">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3">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x14ac:dyDescent="0.3">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3">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3">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x14ac:dyDescent="0.3">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3">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3">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3">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3">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x14ac:dyDescent="0.3">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3">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x14ac:dyDescent="0.3">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3">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3">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x14ac:dyDescent="0.3">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x14ac:dyDescent="0.3">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x14ac:dyDescent="0.3">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x14ac:dyDescent="0.3">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3">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x14ac:dyDescent="0.3">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x14ac:dyDescent="0.3">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x14ac:dyDescent="0.3">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3">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x14ac:dyDescent="0.3">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x14ac:dyDescent="0.3">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x14ac:dyDescent="0.3">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x14ac:dyDescent="0.3">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3">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x14ac:dyDescent="0.3">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x14ac:dyDescent="0.3">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3">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x14ac:dyDescent="0.3">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x14ac:dyDescent="0.3">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x14ac:dyDescent="0.3">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x14ac:dyDescent="0.3">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x14ac:dyDescent="0.3">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3">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x14ac:dyDescent="0.3">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x14ac:dyDescent="0.3">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x14ac:dyDescent="0.3">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x14ac:dyDescent="0.3">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x14ac:dyDescent="0.3">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3">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3">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3">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x14ac:dyDescent="0.3">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x14ac:dyDescent="0.3">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x14ac:dyDescent="0.3">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x14ac:dyDescent="0.3">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3">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x14ac:dyDescent="0.3">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3">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x14ac:dyDescent="0.3">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3">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x14ac:dyDescent="0.3">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3">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3">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x14ac:dyDescent="0.3">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x14ac:dyDescent="0.3">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x14ac:dyDescent="0.3">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3">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3">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3">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3">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x14ac:dyDescent="0.3">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3">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x14ac:dyDescent="0.3">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x14ac:dyDescent="0.3">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3">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3">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x14ac:dyDescent="0.3">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3">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x14ac:dyDescent="0.3">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x14ac:dyDescent="0.3">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3">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x14ac:dyDescent="0.3">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x14ac:dyDescent="0.3">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3">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3">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x14ac:dyDescent="0.3">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3">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x14ac:dyDescent="0.3">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x14ac:dyDescent="0.3">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x14ac:dyDescent="0.3">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3">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3">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x14ac:dyDescent="0.3">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x14ac:dyDescent="0.3">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x14ac:dyDescent="0.3">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3">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3">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3">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x14ac:dyDescent="0.3">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3">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3">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x14ac:dyDescent="0.3">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3">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x14ac:dyDescent="0.3">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3">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x14ac:dyDescent="0.3">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x14ac:dyDescent="0.3">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x14ac:dyDescent="0.3">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x14ac:dyDescent="0.3">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3">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x14ac:dyDescent="0.3">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3">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x14ac:dyDescent="0.3">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x14ac:dyDescent="0.3">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x14ac:dyDescent="0.3">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3">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x14ac:dyDescent="0.3">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x14ac:dyDescent="0.3">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3">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x14ac:dyDescent="0.3">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x14ac:dyDescent="0.3">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x14ac:dyDescent="0.3">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3">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3">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3">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x14ac:dyDescent="0.3">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3">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x14ac:dyDescent="0.3">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x14ac:dyDescent="0.3">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3">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3">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x14ac:dyDescent="0.3">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x14ac:dyDescent="0.3">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3">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x14ac:dyDescent="0.3">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x14ac:dyDescent="0.3">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3">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3">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x14ac:dyDescent="0.3">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x14ac:dyDescent="0.3">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x14ac:dyDescent="0.3">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x14ac:dyDescent="0.3">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x14ac:dyDescent="0.3">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3">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x14ac:dyDescent="0.3">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3">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x14ac:dyDescent="0.3">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3">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x14ac:dyDescent="0.3">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x14ac:dyDescent="0.3">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x14ac:dyDescent="0.3">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3">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3">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x14ac:dyDescent="0.3">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3">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3">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x14ac:dyDescent="0.3">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3">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3">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x14ac:dyDescent="0.3">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x14ac:dyDescent="0.3">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x14ac:dyDescent="0.3">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x14ac:dyDescent="0.3">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3">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x14ac:dyDescent="0.3">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3">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3">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3">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3">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3">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x14ac:dyDescent="0.3">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x14ac:dyDescent="0.3">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x14ac:dyDescent="0.3">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3">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3">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x14ac:dyDescent="0.3">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x14ac:dyDescent="0.3">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x14ac:dyDescent="0.3">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3">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3">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x14ac:dyDescent="0.3">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3">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3">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x14ac:dyDescent="0.3">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x14ac:dyDescent="0.3">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x14ac:dyDescent="0.3">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3">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3">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x14ac:dyDescent="0.3">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3">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x14ac:dyDescent="0.3">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x14ac:dyDescent="0.3">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3">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3">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3">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3">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3">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x14ac:dyDescent="0.3">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x14ac:dyDescent="0.3">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x14ac:dyDescent="0.3">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x14ac:dyDescent="0.3">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x14ac:dyDescent="0.3">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3">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x14ac:dyDescent="0.3">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x14ac:dyDescent="0.3">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x14ac:dyDescent="0.3">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x14ac:dyDescent="0.3">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3">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x14ac:dyDescent="0.3">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x14ac:dyDescent="0.3">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x14ac:dyDescent="0.3">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3">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x14ac:dyDescent="0.3">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x14ac:dyDescent="0.3">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3">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x14ac:dyDescent="0.3">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3">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3">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x14ac:dyDescent="0.3">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x14ac:dyDescent="0.3">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3">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x14ac:dyDescent="0.3">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x14ac:dyDescent="0.3">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x14ac:dyDescent="0.3">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3">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x14ac:dyDescent="0.3">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3">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x14ac:dyDescent="0.3">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x14ac:dyDescent="0.3">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3">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x14ac:dyDescent="0.3">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x14ac:dyDescent="0.3">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3">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3">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x14ac:dyDescent="0.3">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3">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x14ac:dyDescent="0.3">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x14ac:dyDescent="0.3">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x14ac:dyDescent="0.3">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x14ac:dyDescent="0.3">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x14ac:dyDescent="0.3">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x14ac:dyDescent="0.3">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x14ac:dyDescent="0.3">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3">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x14ac:dyDescent="0.3">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x14ac:dyDescent="0.3">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3">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3">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x14ac:dyDescent="0.3">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3">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x14ac:dyDescent="0.3">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x14ac:dyDescent="0.3">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3">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3">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3">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3">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x14ac:dyDescent="0.3">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x14ac:dyDescent="0.3">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x14ac:dyDescent="0.3">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x14ac:dyDescent="0.3">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x14ac:dyDescent="0.3">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x14ac:dyDescent="0.3">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x14ac:dyDescent="0.3">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x14ac:dyDescent="0.3">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x14ac:dyDescent="0.3">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x14ac:dyDescent="0.3">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x14ac:dyDescent="0.3">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3">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3">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3">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3">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x14ac:dyDescent="0.3">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x14ac:dyDescent="0.3">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x14ac:dyDescent="0.3">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3">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3">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3">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x14ac:dyDescent="0.3">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x14ac:dyDescent="0.3">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3">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3">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x14ac:dyDescent="0.3">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x14ac:dyDescent="0.3">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x14ac:dyDescent="0.3">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x14ac:dyDescent="0.3">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x14ac:dyDescent="0.3">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x14ac:dyDescent="0.3">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x14ac:dyDescent="0.3">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3">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3">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x14ac:dyDescent="0.3">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x14ac:dyDescent="0.3">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3">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3">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3">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3">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3">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x14ac:dyDescent="0.3">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3">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3">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3">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3">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x14ac:dyDescent="0.3">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x14ac:dyDescent="0.3">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x14ac:dyDescent="0.3">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3">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3">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x14ac:dyDescent="0.3">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x14ac:dyDescent="0.3">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x14ac:dyDescent="0.3">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x14ac:dyDescent="0.3">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x14ac:dyDescent="0.3">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x14ac:dyDescent="0.3">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x14ac:dyDescent="0.3">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x14ac:dyDescent="0.3">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x14ac:dyDescent="0.3">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3">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x14ac:dyDescent="0.3">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3">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3">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x14ac:dyDescent="0.3">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x14ac:dyDescent="0.3">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3">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3">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x14ac:dyDescent="0.3">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x14ac:dyDescent="0.3">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3">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3">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x14ac:dyDescent="0.3">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x14ac:dyDescent="0.3">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3">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3">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x14ac:dyDescent="0.3">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x14ac:dyDescent="0.3">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3">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x14ac:dyDescent="0.3">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x14ac:dyDescent="0.3">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x14ac:dyDescent="0.3">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3">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x14ac:dyDescent="0.3">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3">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3">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3">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3">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3">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x14ac:dyDescent="0.3">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x14ac:dyDescent="0.3">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x14ac:dyDescent="0.3">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3">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x14ac:dyDescent="0.3">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3">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3">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x14ac:dyDescent="0.3">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x14ac:dyDescent="0.3">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3">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x14ac:dyDescent="0.3">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x14ac:dyDescent="0.3">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3">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3">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x14ac:dyDescent="0.3">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3">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x14ac:dyDescent="0.3">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3">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x14ac:dyDescent="0.3">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3">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3">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3">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3">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x14ac:dyDescent="0.3">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x14ac:dyDescent="0.3">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3">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x14ac:dyDescent="0.3">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3">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3">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x14ac:dyDescent="0.3">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3">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x14ac:dyDescent="0.3">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3">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3">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3">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x14ac:dyDescent="0.3">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3">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3">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3">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x14ac:dyDescent="0.3">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x14ac:dyDescent="0.3">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3">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3">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3">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x14ac:dyDescent="0.3">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3">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3">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x14ac:dyDescent="0.3">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x14ac:dyDescent="0.3">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3">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x14ac:dyDescent="0.3">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3">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x14ac:dyDescent="0.3">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3">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x14ac:dyDescent="0.3">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x14ac:dyDescent="0.3">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3">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x14ac:dyDescent="0.3">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x14ac:dyDescent="0.3">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x14ac:dyDescent="0.3">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x14ac:dyDescent="0.3">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3">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3">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x14ac:dyDescent="0.3">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3">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3">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3">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x14ac:dyDescent="0.3">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x14ac:dyDescent="0.3">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3">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3">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3">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x14ac:dyDescent="0.3">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x14ac:dyDescent="0.3">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x14ac:dyDescent="0.3">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3">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3">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3">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3">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3">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x14ac:dyDescent="0.3">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3">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x14ac:dyDescent="0.3">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3">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x14ac:dyDescent="0.3">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3">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3">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x14ac:dyDescent="0.3">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x14ac:dyDescent="0.3">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x14ac:dyDescent="0.3">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x14ac:dyDescent="0.3">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3">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3">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x14ac:dyDescent="0.3">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3">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3">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x14ac:dyDescent="0.3">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x14ac:dyDescent="0.3">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x14ac:dyDescent="0.3">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x14ac:dyDescent="0.3">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3">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x14ac:dyDescent="0.3">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x14ac:dyDescent="0.3">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3">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3">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3">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3">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3">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x14ac:dyDescent="0.3">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3">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x14ac:dyDescent="0.3">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3">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x14ac:dyDescent="0.3">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x14ac:dyDescent="0.3">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x14ac:dyDescent="0.3">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x14ac:dyDescent="0.3">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x14ac:dyDescent="0.3">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3">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x14ac:dyDescent="0.3">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3">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3">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x14ac:dyDescent="0.3">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x14ac:dyDescent="0.3">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x14ac:dyDescent="0.3">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3">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x14ac:dyDescent="0.3">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x14ac:dyDescent="0.3">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x14ac:dyDescent="0.3">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x14ac:dyDescent="0.3">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3">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3">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x14ac:dyDescent="0.3">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3">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x14ac:dyDescent="0.3">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3">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3">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3">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3">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3">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x14ac:dyDescent="0.3">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x14ac:dyDescent="0.3">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x14ac:dyDescent="0.3">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x14ac:dyDescent="0.3">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x14ac:dyDescent="0.3">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x14ac:dyDescent="0.3">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x14ac:dyDescent="0.3">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x14ac:dyDescent="0.3">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3">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x14ac:dyDescent="0.3">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3">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x14ac:dyDescent="0.3">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3">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x14ac:dyDescent="0.3">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3">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3">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3">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x14ac:dyDescent="0.3">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3">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3">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3">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3">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3">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x14ac:dyDescent="0.3">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x14ac:dyDescent="0.3">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3">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3">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x14ac:dyDescent="0.3">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x14ac:dyDescent="0.3">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3">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x14ac:dyDescent="0.3">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3">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x14ac:dyDescent="0.3">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x14ac:dyDescent="0.3">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3">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3">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x14ac:dyDescent="0.3">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3">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x14ac:dyDescent="0.3">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x14ac:dyDescent="0.3">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x14ac:dyDescent="0.3">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3">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x14ac:dyDescent="0.3">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3">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x14ac:dyDescent="0.3">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3">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x14ac:dyDescent="0.3">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3">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x14ac:dyDescent="0.3">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x14ac:dyDescent="0.3">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3">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3">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3">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autoFilter ref="A1:Q1001"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E206-7D8B-4F59-AB26-EA9F10470A85}">
  <dimension ref="A1:AH59"/>
  <sheetViews>
    <sheetView showGridLines="0" tabSelected="1" topLeftCell="A2" zoomScale="74" workbookViewId="0">
      <selection activeCell="AA25" sqref="AA25"/>
    </sheetView>
  </sheetViews>
  <sheetFormatPr defaultRowHeight="14.4" x14ac:dyDescent="0.3"/>
  <cols>
    <col min="12" max="12" width="19.6640625" customWidth="1"/>
    <col min="14" max="14" width="19.6640625" customWidth="1"/>
    <col min="16" max="16" width="0" hidden="1" customWidth="1"/>
    <col min="17" max="17" width="19.6640625" customWidth="1"/>
    <col min="19" max="19" width="19.6640625" customWidth="1"/>
    <col min="20" max="20" width="7.6640625" customWidth="1"/>
    <col min="21" max="23" width="0" hidden="1" customWidth="1"/>
  </cols>
  <sheetData>
    <row r="1" spans="1:34"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row>
    <row r="2" spans="1:34"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row>
    <row r="3" spans="1:34" x14ac:dyDescent="0.3">
      <c r="A3" s="8"/>
      <c r="B3" s="26"/>
      <c r="C3" s="27"/>
      <c r="D3" s="27"/>
      <c r="E3" s="27"/>
      <c r="F3" s="27"/>
      <c r="G3" s="27"/>
      <c r="H3" s="27"/>
      <c r="I3" s="27"/>
      <c r="J3" s="27"/>
      <c r="K3" s="27"/>
      <c r="L3" s="27"/>
      <c r="M3" s="27"/>
      <c r="N3" s="27"/>
      <c r="O3" s="27"/>
      <c r="P3" s="27"/>
      <c r="Q3" s="27"/>
      <c r="R3" s="27"/>
      <c r="S3" s="27"/>
      <c r="T3" s="28"/>
      <c r="U3" s="8"/>
      <c r="V3" s="8"/>
      <c r="W3" s="8"/>
      <c r="X3" s="8"/>
      <c r="Y3" s="8"/>
      <c r="Z3" s="8"/>
      <c r="AA3" s="8"/>
      <c r="AB3" s="8"/>
      <c r="AC3" s="8"/>
      <c r="AD3" s="8"/>
      <c r="AE3" s="8"/>
      <c r="AF3" s="8"/>
      <c r="AG3" s="8"/>
      <c r="AH3" s="8"/>
    </row>
    <row r="4" spans="1:34" x14ac:dyDescent="0.3">
      <c r="A4" s="8"/>
      <c r="B4" s="14"/>
      <c r="C4" s="15"/>
      <c r="D4" s="15"/>
      <c r="E4" s="15"/>
      <c r="F4" s="15"/>
      <c r="G4" s="15"/>
      <c r="H4" s="15"/>
      <c r="I4" s="15"/>
      <c r="J4" s="15"/>
      <c r="K4" s="15"/>
      <c r="L4" s="15"/>
      <c r="M4" s="15"/>
      <c r="N4" s="15"/>
      <c r="O4" s="15"/>
      <c r="P4" s="15"/>
      <c r="Q4" s="15"/>
      <c r="R4" s="15"/>
      <c r="S4" s="15"/>
      <c r="T4" s="16"/>
      <c r="U4" s="8"/>
      <c r="V4" s="8"/>
      <c r="W4" s="8"/>
      <c r="X4" s="8"/>
      <c r="Y4" s="8"/>
      <c r="Z4" s="8"/>
      <c r="AA4" s="8"/>
      <c r="AB4" s="8"/>
      <c r="AC4" s="8"/>
      <c r="AD4" s="8"/>
      <c r="AE4" s="8"/>
      <c r="AF4" s="8"/>
      <c r="AG4" s="8"/>
      <c r="AH4" s="8"/>
    </row>
    <row r="5" spans="1:34" ht="45.6" x14ac:dyDescent="0.75">
      <c r="A5" s="8"/>
      <c r="B5" s="14"/>
      <c r="C5" s="20" t="s">
        <v>1036</v>
      </c>
      <c r="D5" s="15"/>
      <c r="E5" s="15"/>
      <c r="F5" s="15"/>
      <c r="G5" s="15"/>
      <c r="H5" s="15"/>
      <c r="I5" s="15"/>
      <c r="J5" s="15"/>
      <c r="K5" s="15"/>
      <c r="L5" s="17" t="s">
        <v>1037</v>
      </c>
      <c r="M5" s="15"/>
      <c r="N5" s="18" t="s">
        <v>1038</v>
      </c>
      <c r="O5" s="15"/>
      <c r="P5" s="15"/>
      <c r="Q5" s="19" t="s">
        <v>1039</v>
      </c>
      <c r="R5" s="15"/>
      <c r="S5" s="18" t="s">
        <v>1040</v>
      </c>
      <c r="T5" s="16"/>
      <c r="U5" s="8"/>
      <c r="V5" s="8"/>
      <c r="W5" s="8"/>
      <c r="X5" s="8"/>
      <c r="Y5" s="8"/>
      <c r="Z5" s="8"/>
      <c r="AA5" s="8"/>
      <c r="AB5" s="8"/>
      <c r="AC5" s="8"/>
      <c r="AD5" s="8"/>
      <c r="AE5" s="8"/>
      <c r="AF5" s="8"/>
      <c r="AG5" s="8"/>
      <c r="AH5" s="8"/>
    </row>
    <row r="6" spans="1:34" ht="21" x14ac:dyDescent="0.3">
      <c r="A6" s="8"/>
      <c r="B6" s="14"/>
      <c r="C6" s="21" t="s">
        <v>1060</v>
      </c>
      <c r="D6" s="15"/>
      <c r="E6" s="15"/>
      <c r="F6" s="15"/>
      <c r="G6" s="15"/>
      <c r="H6" s="15"/>
      <c r="I6" s="15"/>
      <c r="J6" s="15"/>
      <c r="K6" s="15"/>
      <c r="L6" s="29">
        <f>GETPIVOTDATA("Total",'Analisis Pivot'!$A$3)</f>
        <v>322966.74900000007</v>
      </c>
      <c r="M6" s="15"/>
      <c r="N6" s="30">
        <f>GETPIVOTDATA("Quantity",'Analisis Pivot'!$A$7)</f>
        <v>5510</v>
      </c>
      <c r="O6" s="15"/>
      <c r="P6" s="15"/>
      <c r="Q6" s="30">
        <f>GETPIVOTDATA("cogs",'Analisis Pivot'!$A$11)</f>
        <v>307587.38000000035</v>
      </c>
      <c r="R6" s="15"/>
      <c r="S6" s="30">
        <f>GETPIVOTDATA("Rating",'Analisis Pivot'!$A$15)</f>
        <v>6.9727000000000032</v>
      </c>
      <c r="T6" s="16"/>
      <c r="U6" s="8"/>
      <c r="V6" s="8"/>
      <c r="W6" s="8"/>
      <c r="X6" s="8"/>
      <c r="Y6" s="8"/>
      <c r="Z6" s="8"/>
      <c r="AA6" s="8"/>
      <c r="AB6" s="8"/>
      <c r="AC6" s="8"/>
      <c r="AD6" s="8"/>
      <c r="AE6" s="8"/>
      <c r="AF6" s="8"/>
      <c r="AG6" s="8"/>
      <c r="AH6" s="8"/>
    </row>
    <row r="7" spans="1:34" x14ac:dyDescent="0.3">
      <c r="A7" s="8"/>
      <c r="B7" s="22"/>
      <c r="C7" s="23"/>
      <c r="D7" s="24"/>
      <c r="E7" s="24"/>
      <c r="F7" s="24"/>
      <c r="G7" s="24"/>
      <c r="H7" s="24"/>
      <c r="I7" s="24"/>
      <c r="J7" s="24"/>
      <c r="K7" s="24"/>
      <c r="L7" s="24"/>
      <c r="M7" s="24"/>
      <c r="N7" s="24"/>
      <c r="O7" s="24"/>
      <c r="P7" s="24"/>
      <c r="Q7" s="24"/>
      <c r="R7" s="24"/>
      <c r="S7" s="24"/>
      <c r="T7" s="25"/>
      <c r="U7" s="8"/>
      <c r="V7" s="8"/>
      <c r="W7" s="8"/>
      <c r="X7" s="8"/>
      <c r="Y7" s="8"/>
      <c r="Z7" s="8"/>
      <c r="AA7" s="8"/>
      <c r="AB7" s="8"/>
      <c r="AC7" s="8"/>
      <c r="AD7" s="8"/>
      <c r="AE7" s="8"/>
      <c r="AF7" s="8"/>
      <c r="AG7" s="8"/>
      <c r="AH7" s="8"/>
    </row>
    <row r="8" spans="1:34" hidden="1" x14ac:dyDescent="0.3">
      <c r="A8" s="8"/>
      <c r="B8" s="13"/>
      <c r="C8" s="13"/>
      <c r="D8" s="13"/>
      <c r="E8" s="13"/>
      <c r="F8" s="13"/>
      <c r="G8" s="13"/>
      <c r="H8" s="13"/>
      <c r="I8" s="13"/>
      <c r="J8" s="13"/>
      <c r="K8" s="13"/>
      <c r="L8" s="13"/>
      <c r="M8" s="13"/>
      <c r="N8" s="13"/>
      <c r="O8" s="13"/>
      <c r="P8" s="13"/>
      <c r="Q8" s="13"/>
      <c r="R8" s="13"/>
      <c r="S8" s="13"/>
      <c r="T8" s="13"/>
      <c r="U8" s="8"/>
      <c r="V8" s="8"/>
      <c r="W8" s="8"/>
      <c r="X8" s="8"/>
      <c r="Y8" s="8"/>
      <c r="Z8" s="8"/>
      <c r="AA8" s="8"/>
      <c r="AB8" s="8"/>
      <c r="AC8" s="8"/>
      <c r="AD8" s="8"/>
      <c r="AE8" s="8"/>
      <c r="AF8" s="8"/>
      <c r="AG8" s="8"/>
      <c r="AH8" s="8"/>
    </row>
    <row r="9" spans="1:34" x14ac:dyDescent="0.3">
      <c r="A9" s="8"/>
      <c r="B9" s="13"/>
      <c r="C9" s="13"/>
      <c r="D9" s="13"/>
      <c r="E9" s="13"/>
      <c r="F9" s="13"/>
      <c r="G9" s="13"/>
      <c r="H9" s="13"/>
      <c r="I9" s="13"/>
      <c r="J9" s="13"/>
      <c r="K9" s="13"/>
      <c r="L9" s="13"/>
      <c r="M9" s="13"/>
      <c r="N9" s="13"/>
      <c r="O9" s="13"/>
      <c r="P9" s="13"/>
      <c r="Q9" s="13"/>
      <c r="R9" s="13"/>
      <c r="S9" s="13"/>
      <c r="T9" s="13"/>
      <c r="U9" s="8"/>
      <c r="V9" s="8"/>
      <c r="W9" s="8"/>
      <c r="X9" s="8"/>
      <c r="Y9" s="8"/>
      <c r="Z9" s="8"/>
      <c r="AA9" s="8"/>
      <c r="AB9" s="8"/>
      <c r="AC9" s="8"/>
      <c r="AD9" s="8"/>
      <c r="AE9" s="8"/>
      <c r="AF9" s="8"/>
      <c r="AG9" s="8"/>
      <c r="AH9" s="8"/>
    </row>
    <row r="10" spans="1:34" x14ac:dyDescent="0.3">
      <c r="A10" s="8"/>
      <c r="B10" s="13"/>
      <c r="C10" s="13"/>
      <c r="D10" s="13"/>
      <c r="E10" s="13"/>
      <c r="F10" s="13"/>
      <c r="G10" s="13"/>
      <c r="H10" s="13"/>
      <c r="I10" s="13"/>
      <c r="J10" s="13"/>
      <c r="K10" s="13"/>
      <c r="L10" s="13"/>
      <c r="M10" s="13"/>
      <c r="N10" s="13"/>
      <c r="O10" s="13"/>
      <c r="P10" s="13"/>
      <c r="Q10" s="13"/>
      <c r="R10" s="13"/>
      <c r="S10" s="13"/>
      <c r="T10" s="13"/>
      <c r="U10" s="8"/>
      <c r="V10" s="8"/>
      <c r="W10" s="8"/>
      <c r="X10" s="8"/>
      <c r="Y10" s="8"/>
      <c r="Z10" s="8"/>
      <c r="AA10" s="8"/>
      <c r="AB10" s="8"/>
      <c r="AC10" s="8"/>
      <c r="AD10" s="8"/>
      <c r="AE10" s="8"/>
      <c r="AF10" s="8"/>
      <c r="AG10" s="8"/>
      <c r="AH10" s="8"/>
    </row>
    <row r="11" spans="1:34" x14ac:dyDescent="0.3">
      <c r="A11" s="8"/>
      <c r="B11" s="13"/>
      <c r="C11" s="13"/>
      <c r="D11" s="13"/>
      <c r="E11" s="13"/>
      <c r="F11" s="13"/>
      <c r="G11" s="13"/>
      <c r="H11" s="13"/>
      <c r="I11" s="13"/>
      <c r="J11" s="13"/>
      <c r="K11" s="13"/>
      <c r="L11" s="13"/>
      <c r="M11" s="13"/>
      <c r="N11" s="13"/>
      <c r="O11" s="13"/>
      <c r="P11" s="13"/>
      <c r="Q11" s="13"/>
      <c r="R11" s="13"/>
      <c r="S11" s="13"/>
      <c r="T11" s="13"/>
      <c r="U11" s="8"/>
      <c r="V11" s="8"/>
      <c r="W11" s="8"/>
      <c r="X11" s="8"/>
      <c r="Y11" s="8"/>
      <c r="Z11" s="8"/>
      <c r="AA11" s="8"/>
      <c r="AB11" s="8"/>
      <c r="AC11" s="8"/>
      <c r="AD11" s="8"/>
      <c r="AE11" s="8"/>
      <c r="AF11" s="8"/>
      <c r="AG11" s="8"/>
      <c r="AH11" s="8"/>
    </row>
    <row r="12" spans="1:34" x14ac:dyDescent="0.3">
      <c r="A12" s="8"/>
      <c r="B12" s="13"/>
      <c r="C12" s="13"/>
      <c r="D12" s="13"/>
      <c r="E12" s="13"/>
      <c r="F12" s="13"/>
      <c r="G12" s="13"/>
      <c r="H12" s="13"/>
      <c r="I12" s="13"/>
      <c r="J12" s="13"/>
      <c r="K12" s="13"/>
      <c r="L12" s="13"/>
      <c r="M12" s="13"/>
      <c r="N12" s="13"/>
      <c r="O12" s="13"/>
      <c r="P12" s="13"/>
      <c r="Q12" s="13"/>
      <c r="R12" s="13"/>
      <c r="S12" s="13"/>
      <c r="T12" s="13"/>
      <c r="U12" s="8"/>
      <c r="V12" s="8"/>
      <c r="W12" s="8"/>
      <c r="X12" s="8"/>
      <c r="Y12" s="8"/>
      <c r="Z12" s="8"/>
      <c r="AA12" s="8"/>
      <c r="AB12" s="8"/>
      <c r="AC12" s="8"/>
      <c r="AD12" s="8"/>
      <c r="AE12" s="8"/>
      <c r="AF12" s="8"/>
      <c r="AG12" s="8"/>
      <c r="AH12" s="8"/>
    </row>
    <row r="13" spans="1:34" x14ac:dyDescent="0.3">
      <c r="A13" s="8"/>
      <c r="B13" s="13"/>
      <c r="C13" s="13"/>
      <c r="D13" s="13"/>
      <c r="E13" s="13"/>
      <c r="F13" s="13"/>
      <c r="G13" s="13"/>
      <c r="H13" s="13"/>
      <c r="I13" s="13"/>
      <c r="J13" s="13"/>
      <c r="K13" s="13"/>
      <c r="L13" s="13"/>
      <c r="M13" s="13"/>
      <c r="N13" s="13"/>
      <c r="O13" s="13"/>
      <c r="P13" s="13"/>
      <c r="Q13" s="13"/>
      <c r="R13" s="13"/>
      <c r="S13" s="13"/>
      <c r="T13" s="13"/>
      <c r="U13" s="8"/>
      <c r="V13" s="8"/>
      <c r="W13" s="8"/>
      <c r="X13" s="8"/>
      <c r="Y13" s="8"/>
      <c r="Z13" s="8"/>
      <c r="AA13" s="8"/>
      <c r="AB13" s="8"/>
      <c r="AC13" s="8"/>
      <c r="AD13" s="8"/>
      <c r="AE13" s="8"/>
      <c r="AF13" s="8"/>
      <c r="AG13" s="8"/>
      <c r="AH13" s="8"/>
    </row>
    <row r="14" spans="1:34" x14ac:dyDescent="0.3">
      <c r="A14" s="8"/>
      <c r="B14" s="13"/>
      <c r="C14" s="13"/>
      <c r="D14" s="13"/>
      <c r="E14" s="13"/>
      <c r="F14" s="13"/>
      <c r="G14" s="13"/>
      <c r="H14" s="13"/>
      <c r="I14" s="13"/>
      <c r="J14" s="13"/>
      <c r="K14" s="13"/>
      <c r="L14" s="13"/>
      <c r="M14" s="13"/>
      <c r="N14" s="13"/>
      <c r="O14" s="13"/>
      <c r="P14" s="13"/>
      <c r="Q14" s="13"/>
      <c r="R14" s="13"/>
      <c r="S14" s="13"/>
      <c r="T14" s="13"/>
      <c r="U14" s="8"/>
      <c r="V14" s="8"/>
      <c r="W14" s="8"/>
      <c r="X14" s="8"/>
      <c r="Y14" s="8"/>
      <c r="Z14" s="8"/>
      <c r="AA14" s="8"/>
      <c r="AB14" s="8"/>
      <c r="AC14" s="8"/>
      <c r="AD14" s="8"/>
      <c r="AE14" s="8"/>
      <c r="AF14" s="8"/>
      <c r="AG14" s="8"/>
      <c r="AH14" s="8"/>
    </row>
    <row r="15" spans="1:34" x14ac:dyDescent="0.3">
      <c r="A15" s="8"/>
      <c r="B15" s="13"/>
      <c r="C15" s="13"/>
      <c r="D15" s="13"/>
      <c r="E15" s="13"/>
      <c r="F15" s="13"/>
      <c r="G15" s="13"/>
      <c r="H15" s="13"/>
      <c r="I15" s="13"/>
      <c r="J15" s="13"/>
      <c r="K15" s="13"/>
      <c r="L15" s="13"/>
      <c r="M15" s="13"/>
      <c r="N15" s="13"/>
      <c r="O15" s="13"/>
      <c r="P15" s="13"/>
      <c r="Q15" s="13"/>
      <c r="R15" s="13"/>
      <c r="S15" s="13"/>
      <c r="T15" s="13"/>
      <c r="U15" s="8"/>
      <c r="V15" s="8"/>
      <c r="W15" s="8"/>
      <c r="X15" s="8"/>
      <c r="Y15" s="8"/>
      <c r="Z15" s="8"/>
      <c r="AA15" s="8"/>
      <c r="AB15" s="8"/>
      <c r="AC15" s="8"/>
      <c r="AD15" s="8"/>
      <c r="AE15" s="8"/>
      <c r="AF15" s="8"/>
      <c r="AG15" s="8"/>
      <c r="AH15" s="8"/>
    </row>
    <row r="16" spans="1:34" x14ac:dyDescent="0.3">
      <c r="A16" s="8"/>
      <c r="B16" s="13"/>
      <c r="C16" s="13"/>
      <c r="D16" s="13"/>
      <c r="E16" s="13"/>
      <c r="F16" s="13"/>
      <c r="G16" s="13"/>
      <c r="H16" s="13"/>
      <c r="I16" s="13"/>
      <c r="J16" s="13"/>
      <c r="K16" s="13"/>
      <c r="L16" s="13"/>
      <c r="M16" s="13"/>
      <c r="N16" s="13"/>
      <c r="O16" s="13"/>
      <c r="P16" s="13"/>
      <c r="Q16" s="13"/>
      <c r="R16" s="13"/>
      <c r="S16" s="13"/>
      <c r="T16" s="13"/>
      <c r="U16" s="8"/>
      <c r="V16" s="8"/>
      <c r="W16" s="8"/>
      <c r="X16" s="8"/>
      <c r="Y16" s="8"/>
      <c r="Z16" s="8"/>
      <c r="AA16" s="8"/>
      <c r="AB16" s="8"/>
      <c r="AC16" s="8"/>
      <c r="AD16" s="8"/>
      <c r="AE16" s="8"/>
      <c r="AF16" s="8"/>
      <c r="AG16" s="8"/>
      <c r="AH16" s="8"/>
    </row>
    <row r="17" spans="1:34" x14ac:dyDescent="0.3">
      <c r="A17" s="8"/>
      <c r="B17" s="13"/>
      <c r="C17" s="13"/>
      <c r="D17" s="13"/>
      <c r="E17" s="13"/>
      <c r="F17" s="13"/>
      <c r="G17" s="13"/>
      <c r="H17" s="13"/>
      <c r="I17" s="13"/>
      <c r="J17" s="13"/>
      <c r="K17" s="13"/>
      <c r="L17" s="13"/>
      <c r="M17" s="13"/>
      <c r="N17" s="13"/>
      <c r="O17" s="13"/>
      <c r="P17" s="13"/>
      <c r="Q17" s="13"/>
      <c r="R17" s="13"/>
      <c r="S17" s="13"/>
      <c r="T17" s="13"/>
      <c r="U17" s="8"/>
      <c r="V17" s="8"/>
      <c r="W17" s="8"/>
      <c r="X17" s="8"/>
      <c r="Y17" s="8"/>
      <c r="Z17" s="8"/>
      <c r="AA17" s="8"/>
      <c r="AB17" s="8"/>
      <c r="AC17" s="8"/>
      <c r="AD17" s="8"/>
      <c r="AE17" s="8"/>
      <c r="AF17" s="8"/>
      <c r="AG17" s="8"/>
      <c r="AH17" s="8"/>
    </row>
    <row r="18" spans="1:34" x14ac:dyDescent="0.3">
      <c r="A18" s="8"/>
      <c r="B18" s="13"/>
      <c r="C18" s="13"/>
      <c r="D18" s="13"/>
      <c r="E18" s="13"/>
      <c r="F18" s="13"/>
      <c r="G18" s="13"/>
      <c r="H18" s="13"/>
      <c r="I18" s="13"/>
      <c r="J18" s="13"/>
      <c r="K18" s="13"/>
      <c r="L18" s="13"/>
      <c r="M18" s="13"/>
      <c r="N18" s="13"/>
      <c r="O18" s="13"/>
      <c r="P18" s="13"/>
      <c r="Q18" s="13"/>
      <c r="R18" s="13"/>
      <c r="S18" s="13"/>
      <c r="T18" s="13"/>
      <c r="U18" s="8"/>
      <c r="V18" s="8"/>
      <c r="W18" s="8"/>
      <c r="X18" s="8"/>
      <c r="Y18" s="8"/>
      <c r="Z18" s="8"/>
      <c r="AA18" s="8"/>
      <c r="AB18" s="8"/>
      <c r="AC18" s="8"/>
      <c r="AD18" s="8"/>
      <c r="AE18" s="8"/>
      <c r="AF18" s="8"/>
      <c r="AG18" s="8"/>
      <c r="AH18" s="8"/>
    </row>
    <row r="19" spans="1:34" x14ac:dyDescent="0.3">
      <c r="A19" s="8"/>
      <c r="B19" s="13"/>
      <c r="C19" s="13"/>
      <c r="D19" s="13"/>
      <c r="E19" s="13"/>
      <c r="F19" s="13"/>
      <c r="G19" s="13"/>
      <c r="H19" s="13"/>
      <c r="I19" s="13"/>
      <c r="J19" s="13"/>
      <c r="K19" s="13"/>
      <c r="L19" s="13"/>
      <c r="M19" s="13"/>
      <c r="N19" s="13"/>
      <c r="O19" s="13"/>
      <c r="P19" s="13"/>
      <c r="Q19" s="13"/>
      <c r="R19" s="13"/>
      <c r="S19" s="13"/>
      <c r="T19" s="13"/>
      <c r="U19" s="8"/>
      <c r="V19" s="8"/>
      <c r="W19" s="8"/>
      <c r="X19" s="8"/>
      <c r="Y19" s="8"/>
      <c r="Z19" s="8"/>
      <c r="AA19" s="8"/>
      <c r="AB19" s="8"/>
      <c r="AC19" s="8"/>
      <c r="AD19" s="8"/>
      <c r="AE19" s="8"/>
      <c r="AF19" s="8"/>
      <c r="AG19" s="8"/>
      <c r="AH19" s="8"/>
    </row>
    <row r="20" spans="1:34" x14ac:dyDescent="0.3">
      <c r="A20" s="8"/>
      <c r="B20" s="13"/>
      <c r="C20" s="13"/>
      <c r="D20" s="13"/>
      <c r="E20" s="13"/>
      <c r="F20" s="13"/>
      <c r="G20" s="13"/>
      <c r="H20" s="13"/>
      <c r="I20" s="13"/>
      <c r="J20" s="13"/>
      <c r="K20" s="13"/>
      <c r="L20" s="13"/>
      <c r="M20" s="13"/>
      <c r="N20" s="13"/>
      <c r="O20" s="13"/>
      <c r="P20" s="13"/>
      <c r="Q20" s="13"/>
      <c r="R20" s="13"/>
      <c r="S20" s="13"/>
      <c r="T20" s="13"/>
      <c r="U20" s="8"/>
      <c r="V20" s="8"/>
      <c r="W20" s="8"/>
      <c r="X20" s="8"/>
      <c r="Y20" s="8"/>
      <c r="Z20" s="8"/>
      <c r="AA20" s="8"/>
      <c r="AB20" s="8"/>
      <c r="AC20" s="8"/>
      <c r="AD20" s="8"/>
      <c r="AE20" s="8"/>
      <c r="AF20" s="8"/>
      <c r="AG20" s="8"/>
      <c r="AH20" s="8"/>
    </row>
    <row r="21" spans="1:34" x14ac:dyDescent="0.3">
      <c r="A21" s="8"/>
      <c r="B21" s="13"/>
      <c r="C21" s="13"/>
      <c r="D21" s="13"/>
      <c r="E21" s="13"/>
      <c r="F21" s="13"/>
      <c r="G21" s="13"/>
      <c r="H21" s="13"/>
      <c r="I21" s="13"/>
      <c r="J21" s="13"/>
      <c r="K21" s="13"/>
      <c r="L21" s="13"/>
      <c r="M21" s="13"/>
      <c r="N21" s="13"/>
      <c r="O21" s="13"/>
      <c r="P21" s="13"/>
      <c r="Q21" s="13"/>
      <c r="R21" s="13"/>
      <c r="S21" s="13"/>
      <c r="T21" s="13"/>
      <c r="U21" s="8"/>
      <c r="V21" s="8"/>
      <c r="W21" s="8"/>
      <c r="X21" s="8"/>
      <c r="Y21" s="8"/>
      <c r="Z21" s="8"/>
      <c r="AA21" s="8"/>
      <c r="AB21" s="8"/>
      <c r="AC21" s="8"/>
      <c r="AD21" s="8"/>
      <c r="AE21" s="8"/>
      <c r="AF21" s="8"/>
      <c r="AG21" s="8"/>
      <c r="AH21" s="8"/>
    </row>
    <row r="22" spans="1:34" x14ac:dyDescent="0.3">
      <c r="A22" s="8"/>
      <c r="B22" s="13"/>
      <c r="C22" s="13"/>
      <c r="D22" s="13"/>
      <c r="E22" s="13"/>
      <c r="F22" s="13"/>
      <c r="G22" s="13"/>
      <c r="H22" s="13"/>
      <c r="I22" s="13"/>
      <c r="J22" s="13"/>
      <c r="K22" s="13"/>
      <c r="L22" s="13"/>
      <c r="M22" s="13"/>
      <c r="N22" s="13"/>
      <c r="O22" s="13"/>
      <c r="P22" s="13"/>
      <c r="Q22" s="13"/>
      <c r="R22" s="13"/>
      <c r="S22" s="13"/>
      <c r="T22" s="13"/>
      <c r="U22" s="8"/>
      <c r="V22" s="8"/>
      <c r="W22" s="8"/>
      <c r="X22" s="8"/>
      <c r="Y22" s="8"/>
      <c r="Z22" s="8"/>
      <c r="AA22" s="8"/>
      <c r="AB22" s="8"/>
      <c r="AC22" s="8"/>
      <c r="AD22" s="8"/>
      <c r="AE22" s="8"/>
      <c r="AF22" s="8"/>
      <c r="AG22" s="8"/>
      <c r="AH22" s="8"/>
    </row>
    <row r="23" spans="1:34" x14ac:dyDescent="0.3">
      <c r="A23" s="8"/>
      <c r="B23" s="13"/>
      <c r="C23" s="13"/>
      <c r="D23" s="13"/>
      <c r="E23" s="13"/>
      <c r="F23" s="13"/>
      <c r="G23" s="13"/>
      <c r="H23" s="13"/>
      <c r="I23" s="13"/>
      <c r="J23" s="13"/>
      <c r="K23" s="13"/>
      <c r="L23" s="13"/>
      <c r="M23" s="13"/>
      <c r="N23" s="13"/>
      <c r="O23" s="13"/>
      <c r="P23" s="13"/>
      <c r="Q23" s="13"/>
      <c r="R23" s="13"/>
      <c r="S23" s="13"/>
      <c r="T23" s="13"/>
      <c r="U23" s="8"/>
      <c r="V23" s="8"/>
      <c r="W23" s="8"/>
      <c r="X23" s="8"/>
      <c r="Y23" s="8"/>
      <c r="Z23" s="8"/>
      <c r="AA23" s="8"/>
      <c r="AB23" s="8"/>
      <c r="AC23" s="8"/>
      <c r="AD23" s="8"/>
      <c r="AE23" s="8"/>
      <c r="AF23" s="8"/>
      <c r="AG23" s="8"/>
      <c r="AH23" s="8"/>
    </row>
    <row r="24" spans="1:34" x14ac:dyDescent="0.3">
      <c r="A24" s="8"/>
      <c r="B24" s="13"/>
      <c r="C24" s="13"/>
      <c r="D24" s="13"/>
      <c r="E24" s="13"/>
      <c r="F24" s="13"/>
      <c r="G24" s="13"/>
      <c r="H24" s="13"/>
      <c r="I24" s="13"/>
      <c r="J24" s="13"/>
      <c r="K24" s="13"/>
      <c r="L24" s="13"/>
      <c r="M24" s="13"/>
      <c r="N24" s="13"/>
      <c r="O24" s="13"/>
      <c r="P24" s="13"/>
      <c r="Q24" s="13"/>
      <c r="R24" s="13"/>
      <c r="S24" s="13"/>
      <c r="T24" s="13"/>
      <c r="U24" s="8"/>
      <c r="V24" s="8"/>
      <c r="W24" s="8"/>
      <c r="X24" s="8"/>
      <c r="Y24" s="8"/>
      <c r="Z24" s="8"/>
      <c r="AA24" s="8"/>
      <c r="AB24" s="8"/>
      <c r="AC24" s="8"/>
      <c r="AD24" s="8"/>
      <c r="AE24" s="8"/>
      <c r="AF24" s="8"/>
      <c r="AG24" s="8"/>
      <c r="AH24" s="8"/>
    </row>
    <row r="25" spans="1:34" x14ac:dyDescent="0.3">
      <c r="A25" s="8"/>
      <c r="B25" s="13"/>
      <c r="C25" s="13"/>
      <c r="D25" s="13"/>
      <c r="E25" s="13"/>
      <c r="F25" s="13"/>
      <c r="G25" s="13"/>
      <c r="H25" s="13"/>
      <c r="I25" s="13"/>
      <c r="J25" s="13"/>
      <c r="K25" s="13"/>
      <c r="L25" s="13"/>
      <c r="M25" s="13"/>
      <c r="N25" s="13"/>
      <c r="O25" s="13"/>
      <c r="P25" s="13"/>
      <c r="Q25" s="13"/>
      <c r="R25" s="13"/>
      <c r="S25" s="13"/>
      <c r="T25" s="13"/>
      <c r="U25" s="8"/>
      <c r="V25" s="8"/>
      <c r="W25" s="8"/>
      <c r="X25" s="8"/>
      <c r="Y25" s="8"/>
      <c r="Z25" s="8"/>
      <c r="AA25" s="8"/>
      <c r="AB25" s="8"/>
      <c r="AC25" s="8"/>
      <c r="AD25" s="8"/>
      <c r="AE25" s="8"/>
      <c r="AF25" s="8"/>
      <c r="AG25" s="8"/>
      <c r="AH25" s="8"/>
    </row>
    <row r="26" spans="1:34" x14ac:dyDescent="0.3">
      <c r="A26" s="8"/>
      <c r="B26" s="13"/>
      <c r="C26" s="13"/>
      <c r="D26" s="13"/>
      <c r="E26" s="13"/>
      <c r="F26" s="13"/>
      <c r="G26" s="13"/>
      <c r="H26" s="13"/>
      <c r="I26" s="13"/>
      <c r="J26" s="13"/>
      <c r="K26" s="13"/>
      <c r="L26" s="13"/>
      <c r="M26" s="13"/>
      <c r="N26" s="13"/>
      <c r="O26" s="13"/>
      <c r="P26" s="13"/>
      <c r="Q26" s="13"/>
      <c r="R26" s="13"/>
      <c r="S26" s="13"/>
      <c r="T26" s="13"/>
      <c r="U26" s="8"/>
      <c r="V26" s="8"/>
      <c r="W26" s="8"/>
      <c r="X26" s="8"/>
      <c r="Y26" s="8"/>
      <c r="Z26" s="8"/>
      <c r="AA26" s="8"/>
      <c r="AB26" s="8"/>
      <c r="AC26" s="8"/>
      <c r="AD26" s="8"/>
      <c r="AE26" s="8"/>
      <c r="AF26" s="8"/>
      <c r="AG26" s="8"/>
      <c r="AH26" s="8"/>
    </row>
    <row r="27" spans="1:34" x14ac:dyDescent="0.3">
      <c r="A27" s="8"/>
      <c r="B27" s="13"/>
      <c r="C27" s="13"/>
      <c r="D27" s="13"/>
      <c r="E27" s="13"/>
      <c r="F27" s="13"/>
      <c r="G27" s="13"/>
      <c r="H27" s="13"/>
      <c r="I27" s="13"/>
      <c r="J27" s="13"/>
      <c r="K27" s="13"/>
      <c r="L27" s="13"/>
      <c r="M27" s="13"/>
      <c r="N27" s="13"/>
      <c r="O27" s="13"/>
      <c r="P27" s="13"/>
      <c r="Q27" s="13"/>
      <c r="R27" s="13"/>
      <c r="S27" s="13"/>
      <c r="T27" s="13"/>
      <c r="U27" s="8"/>
      <c r="V27" s="8"/>
      <c r="W27" s="8"/>
      <c r="X27" s="8"/>
      <c r="Y27" s="8"/>
      <c r="Z27" s="8"/>
      <c r="AA27" s="8"/>
      <c r="AB27" s="8"/>
      <c r="AC27" s="8"/>
      <c r="AD27" s="8"/>
      <c r="AE27" s="8"/>
      <c r="AF27" s="8"/>
      <c r="AG27" s="8"/>
      <c r="AH27" s="8"/>
    </row>
    <row r="28" spans="1:34" x14ac:dyDescent="0.3">
      <c r="A28" s="8"/>
      <c r="B28" s="13"/>
      <c r="C28" s="13"/>
      <c r="D28" s="13"/>
      <c r="E28" s="13"/>
      <c r="F28" s="13"/>
      <c r="G28" s="13"/>
      <c r="H28" s="13"/>
      <c r="I28" s="13"/>
      <c r="J28" s="13"/>
      <c r="K28" s="13"/>
      <c r="L28" s="13"/>
      <c r="M28" s="13"/>
      <c r="N28" s="13"/>
      <c r="O28" s="13"/>
      <c r="P28" s="13"/>
      <c r="Q28" s="13"/>
      <c r="R28" s="13"/>
      <c r="S28" s="13"/>
      <c r="T28" s="13"/>
      <c r="U28" s="8"/>
      <c r="V28" s="8"/>
      <c r="W28" s="8"/>
      <c r="X28" s="8"/>
      <c r="Y28" s="8"/>
      <c r="Z28" s="8"/>
      <c r="AA28" s="8"/>
      <c r="AB28" s="8"/>
      <c r="AC28" s="8"/>
      <c r="AD28" s="8"/>
      <c r="AE28" s="8"/>
      <c r="AF28" s="8"/>
      <c r="AG28" s="8"/>
      <c r="AH28" s="8"/>
    </row>
    <row r="29" spans="1:34" x14ac:dyDescent="0.3">
      <c r="A29" s="8"/>
      <c r="B29" s="13"/>
      <c r="C29" s="13"/>
      <c r="D29" s="13"/>
      <c r="E29" s="13"/>
      <c r="F29" s="13"/>
      <c r="G29" s="13"/>
      <c r="H29" s="13"/>
      <c r="I29" s="13"/>
      <c r="J29" s="13"/>
      <c r="K29" s="13"/>
      <c r="L29" s="13"/>
      <c r="M29" s="13"/>
      <c r="N29" s="13"/>
      <c r="O29" s="13"/>
      <c r="P29" s="13"/>
      <c r="Q29" s="13"/>
      <c r="R29" s="13"/>
      <c r="S29" s="13"/>
      <c r="T29" s="13"/>
      <c r="U29" s="8"/>
      <c r="V29" s="8"/>
      <c r="W29" s="8"/>
      <c r="X29" s="8"/>
      <c r="Y29" s="8"/>
      <c r="Z29" s="8"/>
      <c r="AA29" s="8"/>
      <c r="AB29" s="8"/>
      <c r="AC29" s="8"/>
      <c r="AD29" s="8"/>
      <c r="AE29" s="8"/>
      <c r="AF29" s="8"/>
      <c r="AG29" s="8"/>
      <c r="AH29" s="8"/>
    </row>
    <row r="30" spans="1:34" x14ac:dyDescent="0.3">
      <c r="A30" s="8"/>
      <c r="B30" s="13"/>
      <c r="C30" s="13"/>
      <c r="D30" s="13"/>
      <c r="E30" s="13"/>
      <c r="F30" s="13"/>
      <c r="G30" s="13"/>
      <c r="H30" s="13"/>
      <c r="I30" s="13"/>
      <c r="J30" s="13"/>
      <c r="K30" s="13"/>
      <c r="L30" s="13"/>
      <c r="M30" s="13"/>
      <c r="N30" s="13"/>
      <c r="O30" s="13"/>
      <c r="P30" s="13"/>
      <c r="Q30" s="13"/>
      <c r="R30" s="13"/>
      <c r="S30" s="13"/>
      <c r="T30" s="13"/>
      <c r="U30" s="8"/>
      <c r="V30" s="8"/>
      <c r="W30" s="8"/>
      <c r="X30" s="8"/>
      <c r="Y30" s="8"/>
      <c r="Z30" s="8"/>
      <c r="AA30" s="8"/>
      <c r="AB30" s="8"/>
      <c r="AC30" s="8"/>
      <c r="AD30" s="8"/>
      <c r="AE30" s="8"/>
      <c r="AF30" s="8"/>
      <c r="AG30" s="8"/>
      <c r="AH30" s="8"/>
    </row>
    <row r="31" spans="1:34" x14ac:dyDescent="0.3">
      <c r="A31" s="8"/>
      <c r="B31" s="13"/>
      <c r="C31" s="13"/>
      <c r="D31" s="13"/>
      <c r="E31" s="13"/>
      <c r="F31" s="13"/>
      <c r="G31" s="13"/>
      <c r="H31" s="13"/>
      <c r="I31" s="13"/>
      <c r="J31" s="13"/>
      <c r="K31" s="13"/>
      <c r="L31" s="13"/>
      <c r="M31" s="13"/>
      <c r="N31" s="13"/>
      <c r="O31" s="13"/>
      <c r="P31" s="13"/>
      <c r="Q31" s="13"/>
      <c r="R31" s="13"/>
      <c r="S31" s="13"/>
      <c r="T31" s="13"/>
      <c r="U31" s="8"/>
      <c r="V31" s="8"/>
      <c r="W31" s="8"/>
      <c r="X31" s="8"/>
      <c r="Y31" s="8"/>
      <c r="Z31" s="8"/>
      <c r="AA31" s="8"/>
      <c r="AB31" s="8"/>
      <c r="AC31" s="8"/>
      <c r="AD31" s="8"/>
      <c r="AE31" s="8"/>
      <c r="AF31" s="8"/>
      <c r="AG31" s="8"/>
      <c r="AH31" s="8"/>
    </row>
    <row r="32" spans="1:34" x14ac:dyDescent="0.3">
      <c r="A32" s="8"/>
      <c r="B32" s="13"/>
      <c r="C32" s="13"/>
      <c r="D32" s="13"/>
      <c r="E32" s="13"/>
      <c r="F32" s="13"/>
      <c r="G32" s="13"/>
      <c r="H32" s="13"/>
      <c r="I32" s="13"/>
      <c r="J32" s="13"/>
      <c r="K32" s="13"/>
      <c r="L32" s="13"/>
      <c r="M32" s="13"/>
      <c r="N32" s="13"/>
      <c r="O32" s="13"/>
      <c r="P32" s="13"/>
      <c r="Q32" s="13"/>
      <c r="R32" s="13"/>
      <c r="S32" s="13"/>
      <c r="T32" s="13"/>
      <c r="U32" s="8"/>
      <c r="V32" s="8"/>
      <c r="W32" s="8"/>
      <c r="X32" s="8"/>
      <c r="Y32" s="8"/>
      <c r="Z32" s="8"/>
      <c r="AA32" s="8"/>
      <c r="AB32" s="8"/>
      <c r="AC32" s="8"/>
      <c r="AD32" s="8"/>
      <c r="AE32" s="8"/>
      <c r="AF32" s="8"/>
      <c r="AG32" s="8"/>
      <c r="AH32" s="8"/>
    </row>
    <row r="33" spans="1:34" x14ac:dyDescent="0.3">
      <c r="A33" s="8"/>
      <c r="B33" s="13"/>
      <c r="C33" s="13"/>
      <c r="D33" s="13"/>
      <c r="E33" s="13"/>
      <c r="F33" s="13"/>
      <c r="G33" s="13"/>
      <c r="H33" s="13"/>
      <c r="I33" s="13"/>
      <c r="J33" s="13"/>
      <c r="K33" s="13"/>
      <c r="L33" s="13"/>
      <c r="M33" s="13"/>
      <c r="N33" s="13"/>
      <c r="O33" s="13"/>
      <c r="P33" s="13"/>
      <c r="Q33" s="13"/>
      <c r="R33" s="13"/>
      <c r="S33" s="13"/>
      <c r="T33" s="13"/>
      <c r="U33" s="8"/>
      <c r="V33" s="8"/>
      <c r="W33" s="8"/>
      <c r="X33" s="8"/>
      <c r="Y33" s="8"/>
      <c r="Z33" s="8"/>
      <c r="AA33" s="8"/>
      <c r="AB33" s="8"/>
      <c r="AC33" s="8"/>
      <c r="AD33" s="8"/>
      <c r="AE33" s="8"/>
      <c r="AF33" s="8"/>
      <c r="AG33" s="8"/>
      <c r="AH33" s="8"/>
    </row>
    <row r="34" spans="1:34" x14ac:dyDescent="0.3">
      <c r="A34" s="8"/>
      <c r="B34" s="13"/>
      <c r="C34" s="13"/>
      <c r="D34" s="13"/>
      <c r="E34" s="13"/>
      <c r="F34" s="13"/>
      <c r="G34" s="13"/>
      <c r="H34" s="13"/>
      <c r="I34" s="13"/>
      <c r="J34" s="13"/>
      <c r="K34" s="13"/>
      <c r="L34" s="13"/>
      <c r="M34" s="13"/>
      <c r="N34" s="13"/>
      <c r="O34" s="13"/>
      <c r="P34" s="13"/>
      <c r="Q34" s="13"/>
      <c r="R34" s="13"/>
      <c r="S34" s="13"/>
      <c r="T34" s="13"/>
      <c r="U34" s="8"/>
      <c r="V34" s="8"/>
      <c r="W34" s="8"/>
      <c r="X34" s="8"/>
      <c r="Y34" s="8"/>
      <c r="Z34" s="8"/>
      <c r="AA34" s="8"/>
      <c r="AB34" s="8"/>
      <c r="AC34" s="8"/>
      <c r="AD34" s="8"/>
      <c r="AE34" s="8"/>
      <c r="AF34" s="8"/>
      <c r="AG34" s="8"/>
      <c r="AH34" s="8"/>
    </row>
    <row r="35" spans="1:34" x14ac:dyDescent="0.3">
      <c r="A35" s="8"/>
      <c r="B35" s="13"/>
      <c r="C35" s="13"/>
      <c r="D35" s="13"/>
      <c r="E35" s="13"/>
      <c r="F35" s="13"/>
      <c r="G35" s="13"/>
      <c r="H35" s="13"/>
      <c r="I35" s="13"/>
      <c r="J35" s="13"/>
      <c r="K35" s="13"/>
      <c r="L35" s="13"/>
      <c r="M35" s="13"/>
      <c r="N35" s="13"/>
      <c r="O35" s="13"/>
      <c r="P35" s="13"/>
      <c r="Q35" s="13"/>
      <c r="R35" s="13"/>
      <c r="S35" s="13"/>
      <c r="T35" s="13"/>
      <c r="U35" s="8"/>
      <c r="V35" s="8"/>
      <c r="W35" s="8"/>
      <c r="X35" s="8"/>
      <c r="Y35" s="8"/>
      <c r="Z35" s="8"/>
      <c r="AA35" s="8"/>
      <c r="AB35" s="8"/>
      <c r="AC35" s="8"/>
      <c r="AD35" s="8"/>
      <c r="AE35" s="8"/>
      <c r="AF35" s="8"/>
      <c r="AG35" s="8"/>
      <c r="AH35" s="8"/>
    </row>
    <row r="36" spans="1:34" x14ac:dyDescent="0.3">
      <c r="A36" s="8"/>
      <c r="B36" s="13"/>
      <c r="C36" s="13"/>
      <c r="D36" s="13"/>
      <c r="E36" s="13"/>
      <c r="F36" s="13"/>
      <c r="G36" s="13"/>
      <c r="H36" s="13"/>
      <c r="I36" s="13"/>
      <c r="J36" s="13"/>
      <c r="K36" s="13"/>
      <c r="L36" s="13"/>
      <c r="M36" s="13"/>
      <c r="N36" s="13"/>
      <c r="O36" s="13"/>
      <c r="P36" s="13"/>
      <c r="Q36" s="13"/>
      <c r="R36" s="13"/>
      <c r="S36" s="13"/>
      <c r="T36" s="13"/>
      <c r="U36" s="8"/>
      <c r="V36" s="8"/>
      <c r="W36" s="8"/>
      <c r="X36" s="8"/>
      <c r="Y36" s="8"/>
      <c r="Z36" s="8"/>
      <c r="AA36" s="8"/>
      <c r="AB36" s="8"/>
      <c r="AC36" s="8"/>
      <c r="AD36" s="8"/>
      <c r="AE36" s="8"/>
      <c r="AF36" s="8"/>
      <c r="AG36" s="8"/>
      <c r="AH36" s="8"/>
    </row>
    <row r="37" spans="1:34" x14ac:dyDescent="0.3">
      <c r="A37" s="8"/>
      <c r="B37" s="13"/>
      <c r="C37" s="13"/>
      <c r="D37" s="13"/>
      <c r="E37" s="13"/>
      <c r="F37" s="13"/>
      <c r="G37" s="13"/>
      <c r="H37" s="13"/>
      <c r="I37" s="13"/>
      <c r="J37" s="13"/>
      <c r="K37" s="13"/>
      <c r="L37" s="13"/>
      <c r="M37" s="13"/>
      <c r="N37" s="13"/>
      <c r="O37" s="13"/>
      <c r="P37" s="13"/>
      <c r="Q37" s="13"/>
      <c r="R37" s="13"/>
      <c r="S37" s="13"/>
      <c r="T37" s="13"/>
      <c r="U37" s="8"/>
      <c r="V37" s="8"/>
      <c r="W37" s="8"/>
      <c r="X37" s="8"/>
      <c r="Y37" s="8"/>
      <c r="Z37" s="8"/>
      <c r="AA37" s="8"/>
      <c r="AB37" s="8"/>
      <c r="AC37" s="8"/>
      <c r="AD37" s="8"/>
      <c r="AE37" s="8"/>
      <c r="AF37" s="8"/>
      <c r="AG37" s="8"/>
      <c r="AH37" s="8"/>
    </row>
    <row r="38" spans="1:34" x14ac:dyDescent="0.3">
      <c r="A38" s="8"/>
      <c r="B38" s="13"/>
      <c r="C38" s="13"/>
      <c r="D38" s="13"/>
      <c r="E38" s="13"/>
      <c r="F38" s="13"/>
      <c r="G38" s="13"/>
      <c r="H38" s="13"/>
      <c r="I38" s="13"/>
      <c r="J38" s="13"/>
      <c r="K38" s="13"/>
      <c r="L38" s="13"/>
      <c r="M38" s="13"/>
      <c r="N38" s="13"/>
      <c r="O38" s="13"/>
      <c r="P38" s="13"/>
      <c r="Q38" s="13"/>
      <c r="R38" s="13"/>
      <c r="S38" s="13"/>
      <c r="T38" s="13"/>
      <c r="U38" s="8"/>
      <c r="V38" s="8"/>
      <c r="W38" s="8"/>
      <c r="X38" s="8"/>
      <c r="Y38" s="8"/>
      <c r="Z38" s="8"/>
      <c r="AA38" s="8"/>
      <c r="AB38" s="8"/>
      <c r="AC38" s="8"/>
      <c r="AD38" s="8"/>
      <c r="AE38" s="8"/>
      <c r="AF38" s="8"/>
      <c r="AG38" s="8"/>
      <c r="AH38" s="8"/>
    </row>
    <row r="39" spans="1:34" x14ac:dyDescent="0.3">
      <c r="A39" s="8"/>
      <c r="B39" s="13"/>
      <c r="C39" s="13"/>
      <c r="D39" s="13"/>
      <c r="E39" s="13"/>
      <c r="F39" s="13"/>
      <c r="G39" s="13"/>
      <c r="H39" s="13"/>
      <c r="I39" s="13"/>
      <c r="J39" s="13"/>
      <c r="K39" s="13"/>
      <c r="L39" s="13"/>
      <c r="M39" s="13"/>
      <c r="N39" s="13"/>
      <c r="O39" s="13"/>
      <c r="P39" s="13"/>
      <c r="Q39" s="13"/>
      <c r="R39" s="13"/>
      <c r="S39" s="13"/>
      <c r="T39" s="13"/>
      <c r="U39" s="8"/>
      <c r="V39" s="8"/>
      <c r="W39" s="8"/>
      <c r="X39" s="8"/>
      <c r="Y39" s="8"/>
      <c r="Z39" s="8"/>
      <c r="AA39" s="8"/>
      <c r="AB39" s="8"/>
      <c r="AC39" s="8"/>
      <c r="AD39" s="8"/>
      <c r="AE39" s="8"/>
      <c r="AF39" s="8"/>
      <c r="AG39" s="8"/>
      <c r="AH39" s="8"/>
    </row>
    <row r="40" spans="1:34" x14ac:dyDescent="0.3">
      <c r="A40" s="8"/>
      <c r="B40" s="13"/>
      <c r="C40" s="13"/>
      <c r="D40" s="13"/>
      <c r="E40" s="13"/>
      <c r="F40" s="13"/>
      <c r="G40" s="13"/>
      <c r="H40" s="13"/>
      <c r="I40" s="13"/>
      <c r="J40" s="13"/>
      <c r="K40" s="13"/>
      <c r="L40" s="13"/>
      <c r="M40" s="13"/>
      <c r="N40" s="13"/>
      <c r="O40" s="13"/>
      <c r="P40" s="13"/>
      <c r="Q40" s="13"/>
      <c r="R40" s="13"/>
      <c r="S40" s="13"/>
      <c r="T40" s="13"/>
      <c r="U40" s="8"/>
      <c r="V40" s="8"/>
      <c r="W40" s="8"/>
      <c r="X40" s="8"/>
      <c r="Y40" s="8"/>
      <c r="Z40" s="8"/>
      <c r="AA40" s="8"/>
      <c r="AB40" s="8"/>
      <c r="AC40" s="8"/>
      <c r="AD40" s="8"/>
      <c r="AE40" s="8"/>
      <c r="AF40" s="8"/>
      <c r="AG40" s="8"/>
      <c r="AH40" s="8"/>
    </row>
    <row r="41" spans="1:34" x14ac:dyDescent="0.3">
      <c r="A41" s="8"/>
      <c r="B41" s="13"/>
      <c r="C41" s="13"/>
      <c r="D41" s="13"/>
      <c r="E41" s="13"/>
      <c r="F41" s="13"/>
      <c r="G41" s="13"/>
      <c r="H41" s="13"/>
      <c r="I41" s="13"/>
      <c r="J41" s="13"/>
      <c r="K41" s="13"/>
      <c r="L41" s="13"/>
      <c r="M41" s="13"/>
      <c r="N41" s="13"/>
      <c r="O41" s="13"/>
      <c r="P41" s="13"/>
      <c r="Q41" s="13"/>
      <c r="R41" s="13"/>
      <c r="S41" s="13"/>
      <c r="T41" s="13"/>
      <c r="U41" s="8"/>
      <c r="V41" s="8"/>
      <c r="W41" s="8"/>
      <c r="X41" s="8"/>
      <c r="Y41" s="8"/>
      <c r="Z41" s="8"/>
      <c r="AA41" s="8"/>
      <c r="AB41" s="8"/>
      <c r="AC41" s="8"/>
      <c r="AD41" s="8"/>
      <c r="AE41" s="8"/>
      <c r="AF41" s="8"/>
      <c r="AG41" s="8"/>
      <c r="AH41" s="8"/>
    </row>
    <row r="42" spans="1:34" x14ac:dyDescent="0.3">
      <c r="A42" s="8"/>
      <c r="B42" s="13"/>
      <c r="C42" s="13"/>
      <c r="D42" s="13"/>
      <c r="E42" s="13"/>
      <c r="F42" s="13"/>
      <c r="G42" s="13"/>
      <c r="H42" s="13"/>
      <c r="I42" s="13"/>
      <c r="J42" s="13"/>
      <c r="K42" s="13"/>
      <c r="L42" s="13"/>
      <c r="M42" s="13"/>
      <c r="N42" s="13"/>
      <c r="O42" s="13"/>
      <c r="P42" s="13"/>
      <c r="Q42" s="13"/>
      <c r="R42" s="13"/>
      <c r="S42" s="13"/>
      <c r="T42" s="13"/>
      <c r="U42" s="8"/>
      <c r="V42" s="8"/>
      <c r="W42" s="8"/>
      <c r="X42" s="8"/>
      <c r="Y42" s="8"/>
      <c r="Z42" s="8"/>
      <c r="AA42" s="8"/>
      <c r="AB42" s="8"/>
      <c r="AC42" s="8"/>
      <c r="AD42" s="8"/>
      <c r="AE42" s="8"/>
      <c r="AF42" s="8"/>
      <c r="AG42" s="8"/>
      <c r="AH42" s="8"/>
    </row>
    <row r="43" spans="1:34" x14ac:dyDescent="0.3">
      <c r="A43" s="8"/>
      <c r="B43" s="13"/>
      <c r="C43" s="13"/>
      <c r="D43" s="13"/>
      <c r="E43" s="13"/>
      <c r="F43" s="13"/>
      <c r="G43" s="13"/>
      <c r="H43" s="13"/>
      <c r="I43" s="13"/>
      <c r="J43" s="13"/>
      <c r="K43" s="13"/>
      <c r="L43" s="13"/>
      <c r="M43" s="13"/>
      <c r="N43" s="13"/>
      <c r="O43" s="13"/>
      <c r="P43" s="13"/>
      <c r="Q43" s="13"/>
      <c r="R43" s="13"/>
      <c r="S43" s="13"/>
      <c r="T43" s="13"/>
      <c r="U43" s="8"/>
      <c r="V43" s="8"/>
      <c r="W43" s="8"/>
      <c r="X43" s="8"/>
      <c r="Y43" s="8"/>
      <c r="Z43" s="8"/>
      <c r="AA43" s="8"/>
      <c r="AB43" s="8"/>
      <c r="AC43" s="8"/>
      <c r="AD43" s="8"/>
      <c r="AE43" s="8"/>
      <c r="AF43" s="8"/>
      <c r="AG43" s="8"/>
      <c r="AH43" s="8"/>
    </row>
    <row r="44" spans="1:34" x14ac:dyDescent="0.3">
      <c r="A44" s="8"/>
      <c r="B44" s="13"/>
      <c r="C44" s="13"/>
      <c r="D44" s="13"/>
      <c r="E44" s="13"/>
      <c r="F44" s="13"/>
      <c r="G44" s="13"/>
      <c r="H44" s="13"/>
      <c r="I44" s="13"/>
      <c r="J44" s="13"/>
      <c r="K44" s="13"/>
      <c r="L44" s="13"/>
      <c r="M44" s="13"/>
      <c r="N44" s="13"/>
      <c r="O44" s="13"/>
      <c r="P44" s="13"/>
      <c r="Q44" s="13"/>
      <c r="R44" s="13"/>
      <c r="S44" s="13"/>
      <c r="T44" s="13"/>
      <c r="U44" s="8"/>
      <c r="V44" s="8"/>
      <c r="W44" s="8"/>
      <c r="X44" s="8"/>
      <c r="Y44" s="8"/>
      <c r="Z44" s="8"/>
      <c r="AA44" s="8"/>
      <c r="AB44" s="8"/>
      <c r="AC44" s="8"/>
      <c r="AD44" s="8"/>
      <c r="AE44" s="8"/>
      <c r="AF44" s="8"/>
      <c r="AG44" s="8"/>
      <c r="AH44" s="8"/>
    </row>
    <row r="45" spans="1:34" x14ac:dyDescent="0.3">
      <c r="A45" s="8"/>
      <c r="B45" s="13"/>
      <c r="C45" s="13"/>
      <c r="D45" s="13"/>
      <c r="E45" s="13"/>
      <c r="F45" s="13"/>
      <c r="G45" s="13"/>
      <c r="H45" s="13"/>
      <c r="I45" s="13"/>
      <c r="J45" s="13"/>
      <c r="K45" s="13"/>
      <c r="L45" s="13"/>
      <c r="M45" s="13"/>
      <c r="N45" s="13"/>
      <c r="O45" s="13"/>
      <c r="P45" s="13"/>
      <c r="Q45" s="13"/>
      <c r="R45" s="13"/>
      <c r="S45" s="13"/>
      <c r="T45" s="13"/>
      <c r="U45" s="8"/>
      <c r="V45" s="8"/>
      <c r="W45" s="8"/>
      <c r="X45" s="8"/>
      <c r="Y45" s="8"/>
      <c r="Z45" s="8"/>
      <c r="AA45" s="8"/>
      <c r="AB45" s="8"/>
      <c r="AC45" s="8"/>
      <c r="AD45" s="8"/>
      <c r="AE45" s="8"/>
      <c r="AF45" s="8"/>
      <c r="AG45" s="8"/>
      <c r="AH45" s="8"/>
    </row>
    <row r="46" spans="1:34" x14ac:dyDescent="0.3">
      <c r="A46" s="8"/>
      <c r="B46" s="13"/>
      <c r="C46" s="13"/>
      <c r="D46" s="13"/>
      <c r="E46" s="13"/>
      <c r="F46" s="13"/>
      <c r="G46" s="13"/>
      <c r="H46" s="13"/>
      <c r="I46" s="13"/>
      <c r="J46" s="13"/>
      <c r="K46" s="13"/>
      <c r="L46" s="13"/>
      <c r="M46" s="13"/>
      <c r="N46" s="13"/>
      <c r="O46" s="13"/>
      <c r="P46" s="13"/>
      <c r="Q46" s="13"/>
      <c r="R46" s="13"/>
      <c r="S46" s="13"/>
      <c r="T46" s="13"/>
      <c r="U46" s="8"/>
      <c r="V46" s="8"/>
      <c r="W46" s="8"/>
      <c r="X46" s="8"/>
      <c r="Y46" s="8"/>
      <c r="Z46" s="8"/>
      <c r="AA46" s="8"/>
      <c r="AB46" s="8"/>
      <c r="AC46" s="8"/>
      <c r="AD46" s="8"/>
      <c r="AE46" s="8"/>
      <c r="AF46" s="8"/>
      <c r="AG46" s="8"/>
      <c r="AH46" s="8"/>
    </row>
    <row r="47" spans="1:34" x14ac:dyDescent="0.3">
      <c r="A47" s="8"/>
      <c r="B47" s="13"/>
      <c r="C47" s="13"/>
      <c r="D47" s="13"/>
      <c r="E47" s="13"/>
      <c r="F47" s="13"/>
      <c r="G47" s="13"/>
      <c r="H47" s="13"/>
      <c r="I47" s="13"/>
      <c r="J47" s="13"/>
      <c r="K47" s="13"/>
      <c r="L47" s="13"/>
      <c r="M47" s="13"/>
      <c r="N47" s="13"/>
      <c r="O47" s="13"/>
      <c r="P47" s="13"/>
      <c r="Q47" s="13"/>
      <c r="R47" s="13"/>
      <c r="S47" s="13"/>
      <c r="T47" s="13"/>
      <c r="U47" s="8"/>
      <c r="V47" s="8"/>
      <c r="W47" s="8"/>
      <c r="X47" s="8"/>
      <c r="Y47" s="8"/>
      <c r="Z47" s="8"/>
      <c r="AA47" s="8"/>
      <c r="AB47" s="8"/>
      <c r="AC47" s="8"/>
      <c r="AD47" s="8"/>
      <c r="AE47" s="8"/>
      <c r="AF47" s="8"/>
      <c r="AG47" s="8"/>
      <c r="AH47" s="8"/>
    </row>
    <row r="48" spans="1:34" x14ac:dyDescent="0.3">
      <c r="A48" s="8"/>
      <c r="B48" s="13"/>
      <c r="C48" s="13"/>
      <c r="D48" s="13"/>
      <c r="E48" s="13"/>
      <c r="F48" s="13"/>
      <c r="G48" s="13"/>
      <c r="H48" s="13"/>
      <c r="I48" s="13"/>
      <c r="J48" s="13"/>
      <c r="K48" s="13"/>
      <c r="L48" s="13"/>
      <c r="M48" s="13"/>
      <c r="N48" s="13"/>
      <c r="O48" s="13"/>
      <c r="P48" s="13"/>
      <c r="Q48" s="13"/>
      <c r="R48" s="13"/>
      <c r="S48" s="13"/>
      <c r="T48" s="13"/>
      <c r="U48" s="8"/>
      <c r="V48" s="8"/>
      <c r="W48" s="8"/>
      <c r="X48" s="8"/>
      <c r="Y48" s="8"/>
      <c r="Z48" s="8"/>
      <c r="AA48" s="8"/>
      <c r="AB48" s="8"/>
      <c r="AC48" s="8"/>
      <c r="AD48" s="8"/>
      <c r="AE48" s="8"/>
      <c r="AF48" s="8"/>
      <c r="AG48" s="8"/>
      <c r="AH48" s="8"/>
    </row>
    <row r="49" spans="1:34" x14ac:dyDescent="0.3">
      <c r="A49" s="8"/>
      <c r="B49" s="13"/>
      <c r="C49" s="13"/>
      <c r="D49" s="13"/>
      <c r="E49" s="13"/>
      <c r="F49" s="13"/>
      <c r="G49" s="13"/>
      <c r="H49" s="13"/>
      <c r="I49" s="13"/>
      <c r="J49" s="13"/>
      <c r="K49" s="13"/>
      <c r="L49" s="13"/>
      <c r="M49" s="13"/>
      <c r="N49" s="13"/>
      <c r="O49" s="13"/>
      <c r="P49" s="13"/>
      <c r="Q49" s="13"/>
      <c r="R49" s="13"/>
      <c r="S49" s="13"/>
      <c r="T49" s="13"/>
      <c r="U49" s="8"/>
      <c r="V49" s="8"/>
      <c r="W49" s="8"/>
      <c r="X49" s="8"/>
      <c r="Y49" s="8"/>
      <c r="Z49" s="8"/>
      <c r="AA49" s="8"/>
      <c r="AB49" s="8"/>
      <c r="AC49" s="8"/>
      <c r="AD49" s="8"/>
      <c r="AE49" s="8"/>
      <c r="AF49" s="8"/>
      <c r="AG49" s="8"/>
      <c r="AH49" s="8"/>
    </row>
    <row r="50" spans="1:34" x14ac:dyDescent="0.3">
      <c r="A50" s="8"/>
      <c r="B50" s="13"/>
      <c r="C50" s="13"/>
      <c r="D50" s="13"/>
      <c r="E50" s="13"/>
      <c r="F50" s="13"/>
      <c r="G50" s="13"/>
      <c r="H50" s="13"/>
      <c r="I50" s="13"/>
      <c r="J50" s="13"/>
      <c r="K50" s="13"/>
      <c r="L50" s="13"/>
      <c r="M50" s="13"/>
      <c r="N50" s="13"/>
      <c r="O50" s="13"/>
      <c r="P50" s="13"/>
      <c r="Q50" s="13"/>
      <c r="R50" s="13"/>
      <c r="S50" s="13"/>
      <c r="T50" s="13"/>
      <c r="U50" s="8"/>
      <c r="V50" s="8"/>
      <c r="W50" s="8"/>
      <c r="X50" s="8"/>
      <c r="Y50" s="8"/>
      <c r="Z50" s="8"/>
      <c r="AA50" s="8"/>
      <c r="AB50" s="8"/>
      <c r="AC50" s="8"/>
      <c r="AD50" s="8"/>
      <c r="AE50" s="8"/>
      <c r="AF50" s="8"/>
      <c r="AG50" s="8"/>
      <c r="AH50" s="8"/>
    </row>
    <row r="51" spans="1:34" x14ac:dyDescent="0.3">
      <c r="A51" s="8"/>
      <c r="B51" s="13"/>
      <c r="C51" s="13"/>
      <c r="D51" s="13"/>
      <c r="E51" s="13"/>
      <c r="F51" s="13"/>
      <c r="G51" s="13"/>
      <c r="H51" s="13"/>
      <c r="I51" s="13"/>
      <c r="J51" s="13"/>
      <c r="K51" s="13"/>
      <c r="L51" s="13"/>
      <c r="M51" s="13"/>
      <c r="N51" s="13"/>
      <c r="O51" s="13"/>
      <c r="P51" s="13"/>
      <c r="Q51" s="13"/>
      <c r="R51" s="13"/>
      <c r="S51" s="13"/>
      <c r="T51" s="13"/>
      <c r="U51" s="8"/>
      <c r="V51" s="8"/>
      <c r="W51" s="8"/>
      <c r="X51" s="8"/>
      <c r="Y51" s="8"/>
      <c r="Z51" s="8"/>
      <c r="AA51" s="8"/>
      <c r="AB51" s="8"/>
      <c r="AC51" s="8"/>
      <c r="AD51" s="8"/>
      <c r="AE51" s="8"/>
      <c r="AF51" s="8"/>
      <c r="AG51" s="8"/>
      <c r="AH51" s="8"/>
    </row>
    <row r="52" spans="1:34"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row>
    <row r="53" spans="1:34"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row>
    <row r="54" spans="1:34"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row>
    <row r="55" spans="1:34"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row>
    <row r="56" spans="1:34"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row>
    <row r="57" spans="1:34"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row>
    <row r="58" spans="1:34"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row>
    <row r="59" spans="1:34"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Analisis Pivot</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Raisya Maulidina</cp:lastModifiedBy>
  <dcterms:created xsi:type="dcterms:W3CDTF">2024-03-07T04:47:57Z</dcterms:created>
  <dcterms:modified xsi:type="dcterms:W3CDTF">2025-10-15T06:35:15Z</dcterms:modified>
</cp:coreProperties>
</file>